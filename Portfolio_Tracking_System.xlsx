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RTFOLIO DASHBOARD" sheetId="1" state="visible" r:id="rId3"/>
    <sheet name="PERFORMANCE ATTRIBUTION" sheetId="2" state="visible" r:id="rId4"/>
    <sheet name="RISK MANAGEMENT" sheetId="3" state="visible" r:id="rId5"/>
    <sheet name="TRADE BLOTTER" sheetId="4" state="visible" r:id="rId6"/>
    <sheet name="INVESTOR REPORTING" sheetId="5" state="visible" r:id="rId7"/>
    <sheet name="MONTHLY P&amp;L HISTORY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<sst xmlns="http://schemas.openxmlformats.org/spreadsheetml/2006/main" count="833" uniqueCount="434">
  <si>
    <t xml:space="preserve">MULTI-STRATEGY FUND — PORTFOLIO MANAGEMENT SYSTEM</t>
  </si>
  <si>
    <t xml:space="preserve">Point72 Asset Management  |  Citadel  |  Millennium  |  J.P. Morgan AM</t>
  </si>
  <si>
    <t xml:space="preserve">Report Date:  February 26, 2026</t>
  </si>
  <si>
    <t xml:space="preserve">AUM ($mm)</t>
  </si>
  <si>
    <t xml:space="preserve">Gross Exposure ($mm)</t>
  </si>
  <si>
    <t xml:space="preserve">Net Exposure ($mm)</t>
  </si>
  <si>
    <t xml:space="preserve">Sharpe (YTD)</t>
  </si>
  <si>
    <t xml:space="preserve">Max Drawdown (YTD)</t>
  </si>
  <si>
    <t xml:space="preserve">P&amp;L MTD ($mm)</t>
  </si>
  <si>
    <t xml:space="preserve">P&amp;L YTD ($mm)</t>
  </si>
  <si>
    <t xml:space="preserve">VaR 1-Day 99%</t>
  </si>
  <si>
    <t xml:space="preserve">Beta (Mkt)</t>
  </si>
  <si>
    <t xml:space="preserve">Ticker</t>
  </si>
  <si>
    <t xml:space="preserve">Security Name</t>
  </si>
  <si>
    <t xml:space="preserve">Strategy</t>
  </si>
  <si>
    <t xml:space="preserve">Sub-Strategy</t>
  </si>
  <si>
    <t xml:space="preserve">Asset Class</t>
  </si>
  <si>
    <t xml:space="preserve">Region</t>
  </si>
  <si>
    <t xml:space="preserve">Sector</t>
  </si>
  <si>
    <t xml:space="preserve">L/S</t>
  </si>
  <si>
    <t xml:space="preserve">Entry Date</t>
  </si>
  <si>
    <t xml:space="preserve">Entry Price</t>
  </si>
  <si>
    <t xml:space="preserve">Current Price</t>
  </si>
  <si>
    <t xml:space="preserve">Shares/Contracts</t>
  </si>
  <si>
    <t xml:space="preserve">Notional ($mm)</t>
  </si>
  <si>
    <t xml:space="preserve">Cost Basis ($mm)</t>
  </si>
  <si>
    <t xml:space="preserve">Mkt Value ($mm)</t>
  </si>
  <si>
    <t xml:space="preserve">Unreal P&amp;L ($mm)</t>
  </si>
  <si>
    <t xml:space="preserve">Unreal P&amp;L %</t>
  </si>
  <si>
    <t xml:space="preserve">Daily P&amp;L ($mm)</t>
  </si>
  <si>
    <t xml:space="preserve">MTD P&amp;L ($mm)</t>
  </si>
  <si>
    <t xml:space="preserve">YTD P&amp;L ($mm)</t>
  </si>
  <si>
    <t xml:space="preserve">Portfolio Weight %</t>
  </si>
  <si>
    <t xml:space="preserve">NVDA</t>
  </si>
  <si>
    <t xml:space="preserve">NVIDIA Corp</t>
  </si>
  <si>
    <t xml:space="preserve">Equity L/S</t>
  </si>
  <si>
    <t xml:space="preserve">Mega-Cap Tech</t>
  </si>
  <si>
    <t xml:space="preserve">Equity</t>
  </si>
  <si>
    <t xml:space="preserve">North America</t>
  </si>
  <si>
    <t xml:space="preserve">Technology</t>
  </si>
  <si>
    <t xml:space="preserve">Long</t>
  </si>
  <si>
    <t xml:space="preserve">2024-03-15</t>
  </si>
  <si>
    <t xml:space="preserve">MSFT</t>
  </si>
  <si>
    <t xml:space="preserve">Microsoft Corp</t>
  </si>
  <si>
    <t xml:space="preserve">2023-11-02</t>
  </si>
  <si>
    <t xml:space="preserve">META</t>
  </si>
  <si>
    <t xml:space="preserve">Meta Platforms</t>
  </si>
  <si>
    <t xml:space="preserve">Comm Svcs</t>
  </si>
  <si>
    <t xml:space="preserve">2024-01-08</t>
  </si>
  <si>
    <t xml:space="preserve">GOOGL</t>
  </si>
  <si>
    <t xml:space="preserve">Alphabet Inc</t>
  </si>
  <si>
    <t xml:space="preserve">2023-08-20</t>
  </si>
  <si>
    <t xml:space="preserve">XOM</t>
  </si>
  <si>
    <t xml:space="preserve">Exxon Mobil</t>
  </si>
  <si>
    <t xml:space="preserve">Value/Macro</t>
  </si>
  <si>
    <t xml:space="preserve">Energy</t>
  </si>
  <si>
    <t xml:space="preserve">Short</t>
  </si>
  <si>
    <t xml:space="preserve">2024-05-10</t>
  </si>
  <si>
    <t xml:space="preserve">SPY</t>
  </si>
  <si>
    <t xml:space="preserve">S&amp;P 500 ETF</t>
  </si>
  <si>
    <t xml:space="preserve">Macro Hedge</t>
  </si>
  <si>
    <t xml:space="preserve">Index Hedge</t>
  </si>
  <si>
    <t xml:space="preserve">ETF</t>
  </si>
  <si>
    <t xml:space="preserve">Index</t>
  </si>
  <si>
    <t xml:space="preserve">2024-09-01</t>
  </si>
  <si>
    <t xml:space="preserve">QQQ</t>
  </si>
  <si>
    <t xml:space="preserve">Nasdaq-100 ETF</t>
  </si>
  <si>
    <t xml:space="preserve">JPM</t>
  </si>
  <si>
    <t xml:space="preserve">JPMorgan Chase</t>
  </si>
  <si>
    <t xml:space="preserve">Financials</t>
  </si>
  <si>
    <t xml:space="preserve">2024-02-14</t>
  </si>
  <si>
    <t xml:space="preserve">BABA</t>
  </si>
  <si>
    <t xml:space="preserve">Alibaba Group</t>
  </si>
  <si>
    <t xml:space="preserve">EM Growth</t>
  </si>
  <si>
    <t xml:space="preserve">Asia Pacific</t>
  </si>
  <si>
    <t xml:space="preserve">Cons Discr</t>
  </si>
  <si>
    <t xml:space="preserve">2024-06-01</t>
  </si>
  <si>
    <t xml:space="preserve">ASML</t>
  </si>
  <si>
    <t xml:space="preserve">ASML Holding</t>
  </si>
  <si>
    <t xml:space="preserve">Semi Equip</t>
  </si>
  <si>
    <t xml:space="preserve">Europe</t>
  </si>
  <si>
    <t xml:space="preserve">2023-12-10</t>
  </si>
  <si>
    <t xml:space="preserve">UST10Y</t>
  </si>
  <si>
    <t xml:space="preserve">10Y US Treasury</t>
  </si>
  <si>
    <t xml:space="preserve">Fixed Income</t>
  </si>
  <si>
    <t xml:space="preserve">Rates</t>
  </si>
  <si>
    <t xml:space="preserve">Govt Bond</t>
  </si>
  <si>
    <t xml:space="preserve">2024-04-01</t>
  </si>
  <si>
    <t xml:space="preserve">HYG</t>
  </si>
  <si>
    <t xml:space="preserve">HY Corp Bond ETF</t>
  </si>
  <si>
    <t xml:space="preserve">Credit</t>
  </si>
  <si>
    <t xml:space="preserve">HY Bonds</t>
  </si>
  <si>
    <t xml:space="preserve">2024-07-15</t>
  </si>
  <si>
    <t xml:space="preserve">GLD</t>
  </si>
  <si>
    <t xml:space="preserve">SPDR Gold Trust</t>
  </si>
  <si>
    <t xml:space="preserve">Commodities</t>
  </si>
  <si>
    <t xml:space="preserve">Precious Metals</t>
  </si>
  <si>
    <t xml:space="preserve">Commodity</t>
  </si>
  <si>
    <t xml:space="preserve">Global</t>
  </si>
  <si>
    <t xml:space="preserve">2024-01-20</t>
  </si>
  <si>
    <t xml:space="preserve">CL1</t>
  </si>
  <si>
    <t xml:space="preserve">WTI Crude Futures</t>
  </si>
  <si>
    <t xml:space="preserve">Energy Futures</t>
  </si>
  <si>
    <t xml:space="preserve">Futures</t>
  </si>
  <si>
    <t xml:space="preserve">2024-10-01</t>
  </si>
  <si>
    <t xml:space="preserve">ES1</t>
  </si>
  <si>
    <t xml:space="preserve">S&amp;P 500 Futures</t>
  </si>
  <si>
    <t xml:space="preserve">Macro</t>
  </si>
  <si>
    <t xml:space="preserve">Index Futures</t>
  </si>
  <si>
    <t xml:space="preserve">2024-11-15</t>
  </si>
  <si>
    <t xml:space="preserve">EUR/USD</t>
  </si>
  <si>
    <t xml:space="preserve">Euro FX Futures</t>
  </si>
  <si>
    <t xml:space="preserve">FX Macro</t>
  </si>
  <si>
    <t xml:space="preserve">G10 FX</t>
  </si>
  <si>
    <t xml:space="preserve">FX</t>
  </si>
  <si>
    <t xml:space="preserve">2024-08-20</t>
  </si>
  <si>
    <t xml:space="preserve">AMZN</t>
  </si>
  <si>
    <t xml:space="preserve">Amazon.com Inc</t>
  </si>
  <si>
    <t xml:space="preserve">2024-04-22</t>
  </si>
  <si>
    <t xml:space="preserve">TSM</t>
  </si>
  <si>
    <t xml:space="preserve">Taiwan Semi</t>
  </si>
  <si>
    <t xml:space="preserve">2024-03-30</t>
  </si>
  <si>
    <t xml:space="preserve">BRK/B</t>
  </si>
  <si>
    <t xml:space="preserve">Berkshire Hathaway</t>
  </si>
  <si>
    <t xml:space="preserve">2023-10-15</t>
  </si>
  <si>
    <t xml:space="preserve">UNH</t>
  </si>
  <si>
    <t xml:space="preserve">UnitedHealth Group</t>
  </si>
  <si>
    <t xml:space="preserve">Healthcare</t>
  </si>
  <si>
    <t xml:space="preserve">2024-01-30</t>
  </si>
  <si>
    <t xml:space="preserve">TOTAL / WEIGHTED AVG</t>
  </si>
  <si>
    <t xml:space="preserve">PERFORMANCE ATTRIBUTION REPORT</t>
  </si>
  <si>
    <t xml:space="preserve">Strategy-Level &amp; Factor Attribution  |  YTD vs Benchmark</t>
  </si>
  <si>
    <t xml:space="preserve">Strategy / Book</t>
  </si>
  <si>
    <t xml:space="preserve">AUM Alloc ($mm)</t>
  </si>
  <si>
    <t xml:space="preserve">Return MTD</t>
  </si>
  <si>
    <t xml:space="preserve">Return QTD</t>
  </si>
  <si>
    <t xml:space="preserve">Return YTD</t>
  </si>
  <si>
    <t xml:space="preserve">Return ITD</t>
  </si>
  <si>
    <t xml:space="preserve">Benchmark</t>
  </si>
  <si>
    <t xml:space="preserve">Alpha (YTD)</t>
  </si>
  <si>
    <t xml:space="preserve">Sharpe</t>
  </si>
  <si>
    <t xml:space="preserve">Sortino</t>
  </si>
  <si>
    <t xml:space="preserve">Max Drawdown</t>
  </si>
  <si>
    <t xml:space="preserve">Win Rate %</t>
  </si>
  <si>
    <t xml:space="preserve">Avg Win/Loss</t>
  </si>
  <si>
    <t xml:space="preserve">Equity L/S – Tech</t>
  </si>
  <si>
    <t xml:space="preserve">Russell 1000 Growth</t>
  </si>
  <si>
    <t xml:space="preserve">Equity L/S – Macro</t>
  </si>
  <si>
    <t xml:space="preserve">S&amp;P 500</t>
  </si>
  <si>
    <t xml:space="preserve">Equity L/S – EM</t>
  </si>
  <si>
    <t xml:space="preserve">MSCI EM</t>
  </si>
  <si>
    <t xml:space="preserve">Fixed Income – Rates</t>
  </si>
  <si>
    <t xml:space="preserve">US Agg Bond</t>
  </si>
  <si>
    <t xml:space="preserve">Credit – HY</t>
  </si>
  <si>
    <t xml:space="preserve">ICE BofA HY</t>
  </si>
  <si>
    <t xml:space="preserve">Macro – FX/Rates</t>
  </si>
  <si>
    <t xml:space="preserve">HFRX Macro</t>
  </si>
  <si>
    <t xml:space="preserve">BCOM Index</t>
  </si>
  <si>
    <t xml:space="preserve">Event Driven</t>
  </si>
  <si>
    <t xml:space="preserve">Stat Arb / Quant</t>
  </si>
  <si>
    <t xml:space="preserve">HFRX Equity Mkt Neut</t>
  </si>
  <si>
    <t xml:space="preserve">TOTAL FUND</t>
  </si>
  <si>
    <t xml:space="preserve">RISK MANAGEMENT &amp; EXPOSURE MONITOR</t>
  </si>
  <si>
    <t xml:space="preserve">▌ EXPOSURE SUMMARY BY BOOK</t>
  </si>
  <si>
    <t xml:space="preserve">Gross Long ($mm)</t>
  </si>
  <si>
    <t xml:space="preserve">Gross Short ($mm)</t>
  </si>
  <si>
    <t xml:space="preserve">Net Exp %</t>
  </si>
  <si>
    <t xml:space="preserve">Gross Exp %</t>
  </si>
  <si>
    <t xml:space="preserve">Beta-Adj Net</t>
  </si>
  <si>
    <t xml:space="preserve">VaR 1d 99% ($mm)</t>
  </si>
  <si>
    <t xml:space="preserve">CVaR ($mm)</t>
  </si>
  <si>
    <t xml:space="preserve">Limit Util %</t>
  </si>
  <si>
    <t xml:space="preserve">Macro FX/Rates</t>
  </si>
  <si>
    <t xml:space="preserve">Stat Arb</t>
  </si>
  <si>
    <t xml:space="preserve">▌ PORTFOLIO RISK LIMITS &amp; BREACH MONITOR</t>
  </si>
  <si>
    <t xml:space="preserve">Risk Metric</t>
  </si>
  <si>
    <t xml:space="preserve">Limit</t>
  </si>
  <si>
    <t xml:space="preserve">Current</t>
  </si>
  <si>
    <t xml:space="preserve">Utilization</t>
  </si>
  <si>
    <t xml:space="preserve">Status</t>
  </si>
  <si>
    <t xml:space="preserve">Last Breach</t>
  </si>
  <si>
    <t xml:space="preserve">Frequency</t>
  </si>
  <si>
    <t xml:space="preserve">Gross Exposure / AUM</t>
  </si>
  <si>
    <t xml:space="preserve">3.50x</t>
  </si>
  <si>
    <t xml:space="preserve">2.68x</t>
  </si>
  <si>
    <t xml:space="preserve">77%</t>
  </si>
  <si>
    <t xml:space="preserve">OK</t>
  </si>
  <si>
    <t xml:space="preserve">Never</t>
  </si>
  <si>
    <t xml:space="preserve">–</t>
  </si>
  <si>
    <t xml:space="preserve">Net Exposure / AUM</t>
  </si>
  <si>
    <t xml:space="preserve">1.00x</t>
  </si>
  <si>
    <t xml:space="preserve">0.49x</t>
  </si>
  <si>
    <t xml:space="preserve">49%</t>
  </si>
  <si>
    <t xml:space="preserve">2024-06-15</t>
  </si>
  <si>
    <t xml:space="preserve">Rare</t>
  </si>
  <si>
    <t xml:space="preserve">Single Position Size</t>
  </si>
  <si>
    <t xml:space="preserve">8.00%</t>
  </si>
  <si>
    <t xml:space="preserve">4.82%</t>
  </si>
  <si>
    <t xml:space="preserve">60%</t>
  </si>
  <si>
    <t xml:space="preserve">Sector Concentration</t>
  </si>
  <si>
    <t xml:space="preserve">30.0%</t>
  </si>
  <si>
    <t xml:space="preserve">28.4%</t>
  </si>
  <si>
    <t xml:space="preserve">95%</t>
  </si>
  <si>
    <t xml:space="preserve">WATCH</t>
  </si>
  <si>
    <t xml:space="preserve">2024-09-10</t>
  </si>
  <si>
    <t xml:space="preserve">Occasional</t>
  </si>
  <si>
    <t xml:space="preserve">1.50%</t>
  </si>
  <si>
    <t xml:space="preserve">0.93%</t>
  </si>
  <si>
    <t xml:space="preserve">62%</t>
  </si>
  <si>
    <t xml:space="preserve">2024-08-22</t>
  </si>
  <si>
    <t xml:space="preserve">CVaR / Expected Shortfall</t>
  </si>
  <si>
    <t xml:space="preserve">2.50%</t>
  </si>
  <si>
    <t xml:space="preserve">1.42%</t>
  </si>
  <si>
    <t xml:space="preserve">57%</t>
  </si>
  <si>
    <t xml:space="preserve">Beta (Fund vs SPX)</t>
  </si>
  <si>
    <t xml:space="preserve">0.50</t>
  </si>
  <si>
    <t xml:space="preserve">0.21</t>
  </si>
  <si>
    <t xml:space="preserve">42%</t>
  </si>
  <si>
    <t xml:space="preserve">Max Drawdown Trigger</t>
  </si>
  <si>
    <t xml:space="preserve">-8.0%</t>
  </si>
  <si>
    <t xml:space="preserve">-6.2%</t>
  </si>
  <si>
    <t xml:space="preserve">78%</t>
  </si>
  <si>
    <t xml:space="preserve">2022-05-18</t>
  </si>
  <si>
    <t xml:space="preserve">Correlation to SPX</t>
  </si>
  <si>
    <t xml:space="preserve">0.60</t>
  </si>
  <si>
    <t xml:space="preserve">0.38</t>
  </si>
  <si>
    <t xml:space="preserve">63%</t>
  </si>
  <si>
    <t xml:space="preserve">2024-03-14</t>
  </si>
  <si>
    <t xml:space="preserve">Leverage Ratio</t>
  </si>
  <si>
    <t xml:space="preserve">4.00x</t>
  </si>
  <si>
    <t xml:space="preserve">2.84x</t>
  </si>
  <si>
    <t xml:space="preserve">71%</t>
  </si>
  <si>
    <t xml:space="preserve">2023-05-08</t>
  </si>
  <si>
    <t xml:space="preserve">Country Concentration</t>
  </si>
  <si>
    <t xml:space="preserve">25.0%</t>
  </si>
  <si>
    <t xml:space="preserve">18.4%</t>
  </si>
  <si>
    <t xml:space="preserve">74%</t>
  </si>
  <si>
    <t xml:space="preserve">Liquidity Coverage Ratio</t>
  </si>
  <si>
    <t xml:space="preserve">1.20x</t>
  </si>
  <si>
    <t xml:space="preserve">0.89x</t>
  </si>
  <si>
    <t xml:space="preserve">BREACH</t>
  </si>
  <si>
    <t xml:space="preserve">2024-11-28</t>
  </si>
  <si>
    <t xml:space="preserve">Frequent</t>
  </si>
  <si>
    <t xml:space="preserve">TRADE BLOTTER — ORDER MANAGEMENT &amp; EXECUTION</t>
  </si>
  <si>
    <t xml:space="preserve">Live &amp; Historical Orders  |  All Strategies  |  All Asset Classes</t>
  </si>
  <si>
    <t xml:space="preserve">Trade ID</t>
  </si>
  <si>
    <t xml:space="preserve">Date</t>
  </si>
  <si>
    <t xml:space="preserve">Time</t>
  </si>
  <si>
    <t xml:space="preserve">Security</t>
  </si>
  <si>
    <t xml:space="preserve">Buy/Sell</t>
  </si>
  <si>
    <t xml:space="preserve">Order Type</t>
  </si>
  <si>
    <t xml:space="preserve">Qty</t>
  </si>
  <si>
    <t xml:space="preserve">Limit/Stop</t>
  </si>
  <si>
    <t xml:space="preserve">Exec Price</t>
  </si>
  <si>
    <t xml:space="preserve">Gross Value ($mm)</t>
  </si>
  <si>
    <t xml:space="preserve">Commission</t>
  </si>
  <si>
    <t xml:space="preserve">Slippage (bps)</t>
  </si>
  <si>
    <t xml:space="preserve">Net P&amp;L ($mm)</t>
  </si>
  <si>
    <t xml:space="preserve">PM Initials</t>
  </si>
  <si>
    <t xml:space="preserve">TRD-2025110001</t>
  </si>
  <si>
    <t xml:space="preserve">2025-11-21</t>
  </si>
  <si>
    <t xml:space="preserve">09:01:47</t>
  </si>
  <si>
    <t xml:space="preserve">GS</t>
  </si>
  <si>
    <t xml:space="preserve">Eq L/S Macro</t>
  </si>
  <si>
    <t xml:space="preserve">BUY</t>
  </si>
  <si>
    <t xml:space="preserve">FILLED</t>
  </si>
  <si>
    <t xml:space="preserve">SR</t>
  </si>
  <si>
    <t xml:space="preserve">TRD-2025110002</t>
  </si>
  <si>
    <t xml:space="preserve">2025-11-08</t>
  </si>
  <si>
    <t xml:space="preserve">08:35:12</t>
  </si>
  <si>
    <t xml:space="preserve">NQ1</t>
  </si>
  <si>
    <t xml:space="preserve">VWAP</t>
  </si>
  <si>
    <t xml:space="preserve">TRD-2025110003</t>
  </si>
  <si>
    <t xml:space="preserve">2025-11-07</t>
  </si>
  <si>
    <t xml:space="preserve">13:06:05</t>
  </si>
  <si>
    <t xml:space="preserve">Eq L/S Tech</t>
  </si>
  <si>
    <t xml:space="preserve">LOC</t>
  </si>
  <si>
    <t xml:space="preserve">PENDING</t>
  </si>
  <si>
    <t xml:space="preserve">DL</t>
  </si>
  <si>
    <t xml:space="preserve">TRD-2025110004</t>
  </si>
  <si>
    <t xml:space="preserve">2025-11-03</t>
  </si>
  <si>
    <t xml:space="preserve">12:53:40</t>
  </si>
  <si>
    <t xml:space="preserve">TLT</t>
  </si>
  <si>
    <t xml:space="preserve">Macro FX</t>
  </si>
  <si>
    <t xml:space="preserve">SELL</t>
  </si>
  <si>
    <t xml:space="preserve">JW</t>
  </si>
  <si>
    <t xml:space="preserve">TRD-2025110005</t>
  </si>
  <si>
    <t xml:space="preserve">2025-11-13</t>
  </si>
  <si>
    <t xml:space="preserve">12:29:40</t>
  </si>
  <si>
    <t xml:space="preserve">AR</t>
  </si>
  <si>
    <t xml:space="preserve">TRD-2025110006</t>
  </si>
  <si>
    <t xml:space="preserve">2025-11-24</t>
  </si>
  <si>
    <t xml:space="preserve">11:10:29</t>
  </si>
  <si>
    <t xml:space="preserve">MOC</t>
  </si>
  <si>
    <t xml:space="preserve">TRD-2025110007</t>
  </si>
  <si>
    <t xml:space="preserve">2025-11-11</t>
  </si>
  <si>
    <t xml:space="preserve">14:17:04</t>
  </si>
  <si>
    <t xml:space="preserve">TSLA</t>
  </si>
  <si>
    <t xml:space="preserve">TRD-2025110008</t>
  </si>
  <si>
    <t xml:space="preserve">12:47:37</t>
  </si>
  <si>
    <t xml:space="preserve">CVX</t>
  </si>
  <si>
    <t xml:space="preserve">TRD-2025110009</t>
  </si>
  <si>
    <t xml:space="preserve">10:50:43</t>
  </si>
  <si>
    <t xml:space="preserve">PARTIAL</t>
  </si>
  <si>
    <t xml:space="preserve">TRD-2025110010</t>
  </si>
  <si>
    <t xml:space="preserve">09:43:56</t>
  </si>
  <si>
    <t xml:space="preserve">TRD-2025110011</t>
  </si>
  <si>
    <t xml:space="preserve">2025-11-25</t>
  </si>
  <si>
    <t xml:space="preserve">10:32:58</t>
  </si>
  <si>
    <t xml:space="preserve">TWAP</t>
  </si>
  <si>
    <t xml:space="preserve">TRD-2025110012</t>
  </si>
  <si>
    <t xml:space="preserve">2025-11-20</t>
  </si>
  <si>
    <t xml:space="preserve">13:31:01</t>
  </si>
  <si>
    <t xml:space="preserve">TRD-2025110013</t>
  </si>
  <si>
    <t xml:space="preserve">2025-11-18</t>
  </si>
  <si>
    <t xml:space="preserve">10:08:42</t>
  </si>
  <si>
    <t xml:space="preserve">SLV</t>
  </si>
  <si>
    <t xml:space="preserve">TRD-2025110014</t>
  </si>
  <si>
    <t xml:space="preserve">2025-11-23</t>
  </si>
  <si>
    <t xml:space="preserve">12:25:42</t>
  </si>
  <si>
    <t xml:space="preserve">TRD-2025110015</t>
  </si>
  <si>
    <t xml:space="preserve">08:14:04</t>
  </si>
  <si>
    <t xml:space="preserve">TRD-2025110016</t>
  </si>
  <si>
    <t xml:space="preserve">2025-11-16</t>
  </si>
  <si>
    <t xml:space="preserve">11:50:30</t>
  </si>
  <si>
    <t xml:space="preserve">Market</t>
  </si>
  <si>
    <t xml:space="preserve">TRD-2025110017</t>
  </si>
  <si>
    <t xml:space="preserve">2025-11-04</t>
  </si>
  <si>
    <t xml:space="preserve">08:25:46</t>
  </si>
  <si>
    <t xml:space="preserve">TRD-2025110018</t>
  </si>
  <si>
    <t xml:space="preserve">2025-11-15</t>
  </si>
  <si>
    <t xml:space="preserve">09:03:41</t>
  </si>
  <si>
    <t xml:space="preserve">TRD-2025110019</t>
  </si>
  <si>
    <t xml:space="preserve">2025-11-01</t>
  </si>
  <si>
    <t xml:space="preserve">14:16:59</t>
  </si>
  <si>
    <t xml:space="preserve">TRD-2025110020</t>
  </si>
  <si>
    <t xml:space="preserve">08:47:20</t>
  </si>
  <si>
    <t xml:space="preserve">TRD-2025110021</t>
  </si>
  <si>
    <t xml:space="preserve">09:43:55</t>
  </si>
  <si>
    <t xml:space="preserve">MK</t>
  </si>
  <si>
    <t xml:space="preserve">TRD-2025110022</t>
  </si>
  <si>
    <t xml:space="preserve">2025-11-30</t>
  </si>
  <si>
    <t xml:space="preserve">12:13:42</t>
  </si>
  <si>
    <t xml:space="preserve">TRD-2025110023</t>
  </si>
  <si>
    <t xml:space="preserve">09:04:34</t>
  </si>
  <si>
    <t xml:space="preserve">TRD-2025110024</t>
  </si>
  <si>
    <t xml:space="preserve">2025-11-10</t>
  </si>
  <si>
    <t xml:space="preserve">08:42:52</t>
  </si>
  <si>
    <t xml:space="preserve">TRD-2025110025</t>
  </si>
  <si>
    <t xml:space="preserve">13:13:43</t>
  </si>
  <si>
    <t xml:space="preserve">TRD-2025110026</t>
  </si>
  <si>
    <t xml:space="preserve">2025-11-09</t>
  </si>
  <si>
    <t xml:space="preserve">10:47:28</t>
  </si>
  <si>
    <t xml:space="preserve">TRD-2025110027</t>
  </si>
  <si>
    <t xml:space="preserve">10:27:08</t>
  </si>
  <si>
    <t xml:space="preserve">TRD-2025110028</t>
  </si>
  <si>
    <t xml:space="preserve">2025-11-14</t>
  </si>
  <si>
    <t xml:space="preserve">10:59:59</t>
  </si>
  <si>
    <t xml:space="preserve">TRD-2025110029</t>
  </si>
  <si>
    <t xml:space="preserve">2025-11-26</t>
  </si>
  <si>
    <t xml:space="preserve">11:17:10</t>
  </si>
  <si>
    <t xml:space="preserve">TRD-2025110030</t>
  </si>
  <si>
    <t xml:space="preserve">08:42:12</t>
  </si>
  <si>
    <t xml:space="preserve">CANCELLED</t>
  </si>
  <si>
    <t xml:space="preserve">TRD-2025110031</t>
  </si>
  <si>
    <t xml:space="preserve">08:07:56</t>
  </si>
  <si>
    <t xml:space="preserve">TRD-2025110032</t>
  </si>
  <si>
    <t xml:space="preserve">14:57:36</t>
  </si>
  <si>
    <t xml:space="preserve">TRD-2025110033</t>
  </si>
  <si>
    <t xml:space="preserve">13:27:04</t>
  </si>
  <si>
    <t xml:space="preserve">TRD-2025110034</t>
  </si>
  <si>
    <t xml:space="preserve">10:12:26</t>
  </si>
  <si>
    <t xml:space="preserve">TRD-2025110035</t>
  </si>
  <si>
    <t xml:space="preserve">13:29:28</t>
  </si>
  <si>
    <t xml:space="preserve">TRD-2025110036</t>
  </si>
  <si>
    <t xml:space="preserve">12:14:51</t>
  </si>
  <si>
    <t xml:space="preserve">TRD-2025110037</t>
  </si>
  <si>
    <t xml:space="preserve">14:31:25</t>
  </si>
  <si>
    <t xml:space="preserve">TRD-2025110038</t>
  </si>
  <si>
    <t xml:space="preserve">15:03:35</t>
  </si>
  <si>
    <t xml:space="preserve">TRD-2025110039</t>
  </si>
  <si>
    <t xml:space="preserve">2025-11-27</t>
  </si>
  <si>
    <t xml:space="preserve">14:53:58</t>
  </si>
  <si>
    <t xml:space="preserve">TRD-2025110040</t>
  </si>
  <si>
    <t xml:space="preserve">11:17:28</t>
  </si>
  <si>
    <t xml:space="preserve">INVESTOR CAPITAL REPORTING — AUM &amp; FLOWS TRACKER</t>
  </si>
  <si>
    <t xml:space="preserve">Investor Name</t>
  </si>
  <si>
    <t xml:space="preserve">Investor Type</t>
  </si>
  <si>
    <t xml:space="preserve">Share Class</t>
  </si>
  <si>
    <t xml:space="preserve">Subscriptions MTD</t>
  </si>
  <si>
    <t xml:space="preserve">Redemptions MTD</t>
  </si>
  <si>
    <t xml:space="preserve">Net Flows MTD</t>
  </si>
  <si>
    <t xml:space="preserve">Net Return MTD</t>
  </si>
  <si>
    <t xml:space="preserve">Cumulative P&amp;L ($mm)</t>
  </si>
  <si>
    <t xml:space="preserve">Alaska Permanent Fund</t>
  </si>
  <si>
    <t xml:space="preserve">Sovereign Wealth</t>
  </si>
  <si>
    <t xml:space="preserve">Institutional A</t>
  </si>
  <si>
    <t xml:space="preserve">Ontario Teachers' Pension</t>
  </si>
  <si>
    <t xml:space="preserve">Pension Fund</t>
  </si>
  <si>
    <t xml:space="preserve">CPPIB</t>
  </si>
  <si>
    <t xml:space="preserve">Princeton Endowment</t>
  </si>
  <si>
    <t xml:space="preserve">Endowment</t>
  </si>
  <si>
    <t xml:space="preserve">Institutional B</t>
  </si>
  <si>
    <t xml:space="preserve">Yale Endowment</t>
  </si>
  <si>
    <t xml:space="preserve">SoftBank Vision Fund</t>
  </si>
  <si>
    <t xml:space="preserve">Family Office</t>
  </si>
  <si>
    <t xml:space="preserve">Institutional C</t>
  </si>
  <si>
    <t xml:space="preserve">Blackrock FoF</t>
  </si>
  <si>
    <t xml:space="preserve">Fund of Funds</t>
  </si>
  <si>
    <t xml:space="preserve">Rotschild HNW</t>
  </si>
  <si>
    <t xml:space="preserve">Class D - HNW</t>
  </si>
  <si>
    <t xml:space="preserve">Al-Futtaim Family</t>
  </si>
  <si>
    <t xml:space="preserve">Sovereign – Gulf State</t>
  </si>
  <si>
    <t xml:space="preserve">Harvard Management Co</t>
  </si>
  <si>
    <t xml:space="preserve">Wellcome Trust</t>
  </si>
  <si>
    <t xml:space="preserve">TOTAL</t>
  </si>
  <si>
    <t xml:space="preserve">MONTHLY P&amp;L HISTORY — STRATEGY RETURNS (NET OF FEES)</t>
  </si>
  <si>
    <t xml:space="preserve">Strategy / Year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</si>
  <si>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</si>
  <si>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</si>
  <si>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</si>
  <si>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</si>
  <si>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</si>
  <si>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</si>
  <si>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</si>
  <si>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</si>
  <si>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</si>
  <si>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</si>
  <si>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</si>
  <si>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</si>
  <si>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Full Year</t>
  </si>
  <si>
    <t xml:space="preserve">Cumulative</t>
  </si>
  <si>
    <t xml:space="preserve">Total Fund</t>
  </si>
  <si>
    <t xml:space="preserve">Macro / FX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</si>
</sst>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\$#,##0.0"/>
    <numFmt numFmtId="166" formatCode="0.00"/>
    <numFmt numFmtId="167" formatCode="0.0%"/>
    <numFmt numFmtId="168" formatCode="0.00%"/>
    <numFmt numFmtId="169" formatCode="\$#,##0.00"/>
    <numFmt numFmtId="170" formatCode="#,##0"/>
    <numFmt numFmtId="171" formatCode="0.00\x"/>
    <numFmt numFmtId="172" formatCode="0%"/>
    <numFmt numFmtId="173" formatCode="\$#,##0.000"/>
    <numFmt numFmtId="174" formatCode="\$#,##0.0000"/>
    <numFmt numFmtId="175" formatCode="0.0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C9A84C"/>
      <name val="Arial"/>
      <family val="0"/>
      <charset val="1"/>
    </font>
    <font>
      <i val="true"/>
      <sz val="9"/>
      <color rgb="FFBDC3C7"/>
      <name val="Arial"/>
      <family val="0"/>
      <charset val="1"/>
    </font>
    <font>
      <sz val="9"/>
      <color rgb="FFBDC3C7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11"/>
      <color rgb="FF1A7A4A"/>
      <name val="Arial"/>
      <family val="0"/>
      <charset val="1"/>
    </font>
    <font>
      <b val="true"/>
      <sz val="11"/>
      <color rgb="FFC0392B"/>
      <name val="Arial"/>
      <family val="0"/>
      <charset val="1"/>
    </font>
    <font>
      <sz val="9"/>
      <color rgb="FF5D6D7E"/>
      <name val="Arial"/>
      <family val="0"/>
      <charset val="1"/>
    </font>
    <font>
      <b val="true"/>
      <sz val="9"/>
      <color rgb="FF1B3A5C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1A7A4A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1A7A4A"/>
      <name val="Arial"/>
      <family val="0"/>
      <charset val="1"/>
    </font>
    <font>
      <sz val="9"/>
      <color rgb="FFC0392B"/>
      <name val="Arial"/>
      <family val="0"/>
      <charset val="1"/>
    </font>
    <font>
      <b val="true"/>
      <sz val="9"/>
      <color rgb="FFC0392B"/>
      <name val="Arial"/>
      <family val="0"/>
      <charset val="1"/>
    </font>
    <font>
      <b val="true"/>
      <sz val="9"/>
      <color rgb="FFC9A84C"/>
      <name val="Arial"/>
      <family val="0"/>
      <charset val="1"/>
    </font>
    <font>
      <b val="true"/>
      <sz val="14"/>
      <color rgb="FFC9A84C"/>
      <name val="Arial"/>
      <family val="0"/>
      <charset val="1"/>
    </font>
    <font>
      <sz val="9"/>
      <color rgb="FF1B3A5C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2D6A9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0D1B2A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0D1B2A"/>
        <bgColor rgb="FF000000"/>
      </patternFill>
    </fill>
    <fill>
      <patternFill patternType="solid">
        <fgColor rgb="FF2D6A9F"/>
        <bgColor rgb="FF5D6D7E"/>
      </patternFill>
    </fill>
    <fill>
      <patternFill patternType="solid">
        <fgColor rgb="FFD5F5E3"/>
        <bgColor rgb="FFEBF5FB"/>
      </patternFill>
    </fill>
    <fill>
      <patternFill patternType="solid">
        <fgColor rgb="FFFADBD8"/>
        <bgColor rgb="FFFDF3DC"/>
      </patternFill>
    </fill>
    <fill>
      <patternFill patternType="solid">
        <fgColor rgb="FF1B3A5C"/>
        <bgColor rgb="FF333333"/>
      </patternFill>
    </fill>
    <fill>
      <patternFill patternType="solid">
        <fgColor rgb="FFF2F4F6"/>
        <bgColor rgb="FFEBF5FB"/>
      </patternFill>
    </fill>
    <fill>
      <patternFill patternType="solid">
        <fgColor rgb="FFFFFFFF"/>
        <bgColor rgb="FFF2F4F6"/>
      </patternFill>
    </fill>
    <fill>
      <patternFill patternType="solid">
        <fgColor rgb="FFFDF3DC"/>
        <bgColor rgb="FFF2F4F6"/>
      </patternFill>
    </fill>
    <fill>
      <patternFill patternType="solid">
        <fgColor rgb="FFEBF5FB"/>
        <bgColor rgb="FFF2F4F6"/>
      </patternFill>
    </fill>
    <fill>
      <patternFill patternType="solid">
        <fgColor rgb="FFC9A84C"/>
        <bgColor rgb="FFFF99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3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2" fontId="1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2" fontId="1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3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A7A4A"/>
      <rgbColor rgb="FFBDC3C7"/>
      <rgbColor rgb="FF808080"/>
      <rgbColor rgb="FF9999FF"/>
      <rgbColor rgb="FF993366"/>
      <rgbColor rgb="FFFDF3DC"/>
      <rgbColor rgb="FFEBF5FB"/>
      <rgbColor rgb="FF660066"/>
      <rgbColor rgb="FFFF8080"/>
      <rgbColor rgb="FF2D6A9F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4F6"/>
      <rgbColor rgb="FFD5F5E3"/>
      <rgbColor rgb="FFFFFF99"/>
      <rgbColor rgb="FF99CCFF"/>
      <rgbColor rgb="FFFF99CC"/>
      <rgbColor rgb="FFCC99FF"/>
      <rgbColor rgb="FFFADBD8"/>
      <rgbColor rgb="FF3366FF"/>
      <rgbColor rgb="FF33CCCC"/>
      <rgbColor rgb="FF99CC00"/>
      <rgbColor rgb="FFFFCC00"/>
      <rgbColor rgb="FFFF9900"/>
      <rgbColor rgb="FFFF6600"/>
      <rgbColor rgb="FF5D6D7E"/>
      <rgbColor rgb="FFC9A84C"/>
      <rgbColor rgb="FF1B3A5C"/>
      <rgbColor rgb="FF339966"/>
      <rgbColor rgb="FF0D1B2A"/>
      <rgbColor rgb="FF333300"/>
      <rgbColor rgb="FFC039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24"/>
    <col collapsed="false" customWidth="true" hidden="false" outlineLevel="0" max="15" min="4" style="0" width="10"/>
    <col collapsed="false" customWidth="true" hidden="false" outlineLevel="0" max="16" min="16" style="0" width="12"/>
    <col collapsed="false" customWidth="true" hidden="false" outlineLevel="0" max="20" min="17" style="0" width="10"/>
    <col collapsed="false" customWidth="true" hidden="false" outlineLevel="0" max="21" min="21" style="0" width="12"/>
    <col collapsed="false" customWidth="true" hidden="false" outlineLevel="0" max="22" min="22" style="0" width="14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3" t="s">
        <v>2</v>
      </c>
      <c r="J2" s="3"/>
      <c r="K2" s="3"/>
      <c r="L2" s="3"/>
      <c r="M2" s="3"/>
      <c r="N2" s="3"/>
      <c r="O2" s="4"/>
      <c r="P2" s="4"/>
      <c r="Q2" s="4"/>
      <c r="R2" s="4"/>
      <c r="S2" s="4"/>
      <c r="T2" s="4"/>
      <c r="U2" s="4"/>
      <c r="V2" s="4"/>
    </row>
    <row r="3" customFormat="false" ht="15.75" hidden="false" customHeight="true" outlineLevel="0" collapsed="false">
      <c r="A3" s="4"/>
      <c r="B3" s="5" t="s">
        <v>3</v>
      </c>
      <c r="C3" s="5"/>
      <c r="D3" s="5" t="s">
        <v>4</v>
      </c>
      <c r="E3" s="5"/>
      <c r="F3" s="5"/>
      <c r="G3" s="5" t="s">
        <v>5</v>
      </c>
      <c r="H3" s="5"/>
      <c r="I3" s="5"/>
      <c r="J3" s="5" t="s">
        <v>6</v>
      </c>
      <c r="K3" s="5"/>
      <c r="L3" s="5" t="s">
        <v>7</v>
      </c>
      <c r="M3" s="5"/>
      <c r="N3" s="5" t="s">
        <v>8</v>
      </c>
      <c r="O3" s="5"/>
      <c r="P3" s="5" t="s">
        <v>9</v>
      </c>
      <c r="Q3" s="5"/>
      <c r="R3" s="5" t="s">
        <v>10</v>
      </c>
      <c r="S3" s="5"/>
      <c r="T3" s="5" t="s">
        <v>11</v>
      </c>
      <c r="U3" s="5"/>
      <c r="V3" s="4"/>
    </row>
    <row r="4" customFormat="false" ht="19.5" hidden="false" customHeight="true" outlineLevel="0" collapsed="false">
      <c r="A4" s="4"/>
      <c r="B4" s="6" t="n">
        <v>4850</v>
      </c>
      <c r="C4" s="6"/>
      <c r="D4" s="6" t="n">
        <v>7420</v>
      </c>
      <c r="E4" s="6"/>
      <c r="F4" s="6"/>
      <c r="G4" s="6" t="n">
        <v>1230</v>
      </c>
      <c r="H4" s="6"/>
      <c r="I4" s="6"/>
      <c r="J4" s="7" t="n">
        <v>1.84</v>
      </c>
      <c r="K4" s="7"/>
      <c r="L4" s="8" t="n">
        <v>-0.0621</v>
      </c>
      <c r="M4" s="8"/>
      <c r="N4" s="6" t="n">
        <v>38.2</v>
      </c>
      <c r="O4" s="6"/>
      <c r="P4" s="6" t="n">
        <v>147.6</v>
      </c>
      <c r="Q4" s="6"/>
      <c r="R4" s="9" t="n">
        <v>-0.0043</v>
      </c>
      <c r="S4" s="9"/>
      <c r="T4" s="7" t="n">
        <v>0.21</v>
      </c>
      <c r="U4" s="7"/>
      <c r="V4" s="4"/>
    </row>
    <row r="5" customFormat="false" ht="31.5" hidden="false" customHeight="true" outlineLevel="0" collapsed="false">
      <c r="A5" s="10"/>
      <c r="B5" s="10" t="s">
        <v>12</v>
      </c>
      <c r="C5" s="10" t="s">
        <v>13</v>
      </c>
      <c r="D5" s="10" t="s">
        <v>14</v>
      </c>
      <c r="E5" s="10" t="s">
        <v>15</v>
      </c>
      <c r="F5" s="10" t="s">
        <v>16</v>
      </c>
      <c r="G5" s="10" t="s">
        <v>17</v>
      </c>
      <c r="H5" s="10" t="s">
        <v>18</v>
      </c>
      <c r="I5" s="10" t="s">
        <v>19</v>
      </c>
      <c r="J5" s="10" t="s">
        <v>20</v>
      </c>
      <c r="K5" s="10" t="s">
        <v>21</v>
      </c>
      <c r="L5" s="10" t="s">
        <v>22</v>
      </c>
      <c r="M5" s="10" t="s">
        <v>23</v>
      </c>
      <c r="N5" s="10" t="s">
        <v>24</v>
      </c>
      <c r="O5" s="10" t="s">
        <v>25</v>
      </c>
      <c r="P5" s="10" t="s">
        <v>26</v>
      </c>
      <c r="Q5" s="10" t="s">
        <v>27</v>
      </c>
      <c r="R5" s="10" t="s">
        <v>28</v>
      </c>
      <c r="S5" s="10" t="s">
        <v>29</v>
      </c>
      <c r="T5" s="10" t="s">
        <v>30</v>
      </c>
      <c r="U5" s="10" t="s">
        <v>31</v>
      </c>
      <c r="V5" s="10" t="s">
        <v>32</v>
      </c>
    </row>
    <row r="6" customFormat="false" ht="15.75" hidden="false" customHeight="true" outlineLevel="0" collapsed="false">
      <c r="A6" s="11" t="n">
        <v>1</v>
      </c>
      <c r="B6" s="12" t="s">
        <v>33</v>
      </c>
      <c r="C6" s="13" t="s">
        <v>34</v>
      </c>
      <c r="D6" s="14" t="s">
        <v>35</v>
      </c>
      <c r="E6" s="11" t="s">
        <v>36</v>
      </c>
      <c r="F6" s="14" t="s">
        <v>37</v>
      </c>
      <c r="G6" s="11" t="s">
        <v>38</v>
      </c>
      <c r="H6" s="14" t="s">
        <v>39</v>
      </c>
      <c r="I6" s="15" t="s">
        <v>40</v>
      </c>
      <c r="J6" s="11" t="s">
        <v>41</v>
      </c>
      <c r="K6" s="16" t="n">
        <v>52.8</v>
      </c>
      <c r="L6" s="17" t="n">
        <v>131.4</v>
      </c>
      <c r="M6" s="18" t="n">
        <v>1200000</v>
      </c>
      <c r="N6" s="19" t="n">
        <v>157.68</v>
      </c>
      <c r="O6" s="19" t="n">
        <v>63.36</v>
      </c>
      <c r="P6" s="20" t="n">
        <v>157.68</v>
      </c>
      <c r="Q6" s="21" t="n">
        <v>94.32</v>
      </c>
      <c r="R6" s="22" t="n">
        <v>1.48863636363636</v>
      </c>
      <c r="S6" s="23" t="n">
        <v>-1</v>
      </c>
      <c r="T6" s="24" t="n">
        <v>4.52</v>
      </c>
      <c r="U6" s="24" t="n">
        <v>12.39</v>
      </c>
      <c r="V6" s="25" t="n">
        <v>0.0325113402061856</v>
      </c>
    </row>
    <row r="7" customFormat="false" ht="15.75" hidden="false" customHeight="true" outlineLevel="0" collapsed="false">
      <c r="A7" s="26" t="n">
        <v>2</v>
      </c>
      <c r="B7" s="27" t="s">
        <v>42</v>
      </c>
      <c r="C7" s="28" t="s">
        <v>43</v>
      </c>
      <c r="D7" s="29" t="s">
        <v>35</v>
      </c>
      <c r="E7" s="26" t="s">
        <v>36</v>
      </c>
      <c r="F7" s="29" t="s">
        <v>37</v>
      </c>
      <c r="G7" s="26" t="s">
        <v>38</v>
      </c>
      <c r="H7" s="29" t="s">
        <v>39</v>
      </c>
      <c r="I7" s="30" t="s">
        <v>40</v>
      </c>
      <c r="J7" s="26" t="s">
        <v>44</v>
      </c>
      <c r="K7" s="31" t="n">
        <v>365.2</v>
      </c>
      <c r="L7" s="32" t="n">
        <v>418.3</v>
      </c>
      <c r="M7" s="33" t="n">
        <v>420000</v>
      </c>
      <c r="N7" s="34" t="n">
        <v>175.686</v>
      </c>
      <c r="O7" s="34" t="n">
        <v>153.384</v>
      </c>
      <c r="P7" s="35" t="n">
        <v>175.686</v>
      </c>
      <c r="Q7" s="36" t="n">
        <v>22.302</v>
      </c>
      <c r="R7" s="37" t="n">
        <v>0.14539978094195</v>
      </c>
      <c r="S7" s="38" t="n">
        <v>1.1</v>
      </c>
      <c r="T7" s="38" t="n">
        <v>1.86</v>
      </c>
      <c r="U7" s="38" t="n">
        <v>22.17</v>
      </c>
      <c r="V7" s="39" t="n">
        <v>0.0362239175257732</v>
      </c>
    </row>
    <row r="8" customFormat="false" ht="15.75" hidden="false" customHeight="true" outlineLevel="0" collapsed="false">
      <c r="A8" s="11" t="n">
        <v>3</v>
      </c>
      <c r="B8" s="12" t="s">
        <v>45</v>
      </c>
      <c r="C8" s="13" t="s">
        <v>46</v>
      </c>
      <c r="D8" s="14" t="s">
        <v>35</v>
      </c>
      <c r="E8" s="11" t="s">
        <v>36</v>
      </c>
      <c r="F8" s="14" t="s">
        <v>37</v>
      </c>
      <c r="G8" s="11" t="s">
        <v>38</v>
      </c>
      <c r="H8" s="14" t="s">
        <v>47</v>
      </c>
      <c r="I8" s="15" t="s">
        <v>40</v>
      </c>
      <c r="J8" s="11" t="s">
        <v>48</v>
      </c>
      <c r="K8" s="16" t="n">
        <v>390.5</v>
      </c>
      <c r="L8" s="17" t="n">
        <v>545.2</v>
      </c>
      <c r="M8" s="18" t="n">
        <v>310000</v>
      </c>
      <c r="N8" s="19" t="n">
        <v>169.012</v>
      </c>
      <c r="O8" s="19" t="n">
        <v>121.055</v>
      </c>
      <c r="P8" s="20" t="n">
        <v>169.012</v>
      </c>
      <c r="Q8" s="21" t="n">
        <v>47.957</v>
      </c>
      <c r="R8" s="22" t="n">
        <v>0.396158770806658</v>
      </c>
      <c r="S8" s="24" t="n">
        <v>0.79</v>
      </c>
      <c r="T8" s="24" t="n">
        <v>10.55</v>
      </c>
      <c r="U8" s="24" t="n">
        <v>40.14</v>
      </c>
      <c r="V8" s="25" t="n">
        <v>0.0348478350515464</v>
      </c>
    </row>
    <row r="9" customFormat="false" ht="15.75" hidden="false" customHeight="true" outlineLevel="0" collapsed="false">
      <c r="A9" s="26" t="n">
        <v>4</v>
      </c>
      <c r="B9" s="27" t="s">
        <v>49</v>
      </c>
      <c r="C9" s="28" t="s">
        <v>50</v>
      </c>
      <c r="D9" s="29" t="s">
        <v>35</v>
      </c>
      <c r="E9" s="26" t="s">
        <v>36</v>
      </c>
      <c r="F9" s="29" t="s">
        <v>37</v>
      </c>
      <c r="G9" s="26" t="s">
        <v>38</v>
      </c>
      <c r="H9" s="29" t="s">
        <v>47</v>
      </c>
      <c r="I9" s="30" t="s">
        <v>40</v>
      </c>
      <c r="J9" s="26" t="s">
        <v>51</v>
      </c>
      <c r="K9" s="31" t="n">
        <v>128.4</v>
      </c>
      <c r="L9" s="32" t="n">
        <v>175.6</v>
      </c>
      <c r="M9" s="33" t="n">
        <v>850000</v>
      </c>
      <c r="N9" s="34" t="n">
        <v>149.26</v>
      </c>
      <c r="O9" s="34" t="n">
        <v>109.14</v>
      </c>
      <c r="P9" s="35" t="n">
        <v>149.26</v>
      </c>
      <c r="Q9" s="36" t="n">
        <v>40.12</v>
      </c>
      <c r="R9" s="37" t="n">
        <v>0.367601246105919</v>
      </c>
      <c r="S9" s="38" t="n">
        <v>1.99</v>
      </c>
      <c r="T9" s="38" t="n">
        <v>11.32</v>
      </c>
      <c r="U9" s="38" t="n">
        <v>3.58</v>
      </c>
      <c r="V9" s="39" t="n">
        <v>0.0307752577319588</v>
      </c>
    </row>
    <row r="10" customFormat="false" ht="15.75" hidden="false" customHeight="true" outlineLevel="0" collapsed="false">
      <c r="A10" s="11" t="n">
        <v>5</v>
      </c>
      <c r="B10" s="12" t="s">
        <v>52</v>
      </c>
      <c r="C10" s="13" t="s">
        <v>53</v>
      </c>
      <c r="D10" s="14" t="s">
        <v>35</v>
      </c>
      <c r="E10" s="11" t="s">
        <v>54</v>
      </c>
      <c r="F10" s="14" t="s">
        <v>37</v>
      </c>
      <c r="G10" s="11" t="s">
        <v>38</v>
      </c>
      <c r="H10" s="14" t="s">
        <v>55</v>
      </c>
      <c r="I10" s="40" t="s">
        <v>56</v>
      </c>
      <c r="J10" s="11" t="s">
        <v>57</v>
      </c>
      <c r="K10" s="16" t="n">
        <v>118.2</v>
      </c>
      <c r="L10" s="17" t="n">
        <v>108.4</v>
      </c>
      <c r="M10" s="18" t="n">
        <v>500000</v>
      </c>
      <c r="N10" s="19" t="n">
        <v>54.2</v>
      </c>
      <c r="O10" s="19" t="n">
        <v>59.1</v>
      </c>
      <c r="P10" s="20" t="n">
        <v>54.2</v>
      </c>
      <c r="Q10" s="41" t="n">
        <v>-4.9</v>
      </c>
      <c r="R10" s="42" t="n">
        <v>-0.0829103214890017</v>
      </c>
      <c r="S10" s="23" t="n">
        <v>-2.42</v>
      </c>
      <c r="T10" s="23" t="n">
        <v>-5.41</v>
      </c>
      <c r="U10" s="24" t="n">
        <v>13.46</v>
      </c>
      <c r="V10" s="25" t="n">
        <v>0.0111752577319588</v>
      </c>
    </row>
    <row r="11" customFormat="false" ht="15.75" hidden="false" customHeight="true" outlineLevel="0" collapsed="false">
      <c r="A11" s="26" t="n">
        <v>6</v>
      </c>
      <c r="B11" s="27" t="s">
        <v>58</v>
      </c>
      <c r="C11" s="28" t="s">
        <v>59</v>
      </c>
      <c r="D11" s="29" t="s">
        <v>60</v>
      </c>
      <c r="E11" s="26" t="s">
        <v>61</v>
      </c>
      <c r="F11" s="29" t="s">
        <v>62</v>
      </c>
      <c r="G11" s="26" t="s">
        <v>38</v>
      </c>
      <c r="H11" s="29" t="s">
        <v>63</v>
      </c>
      <c r="I11" s="43" t="s">
        <v>56</v>
      </c>
      <c r="J11" s="26" t="s">
        <v>64</v>
      </c>
      <c r="K11" s="31" t="n">
        <v>520</v>
      </c>
      <c r="L11" s="32" t="n">
        <v>545.3</v>
      </c>
      <c r="M11" s="33" t="n">
        <v>150000</v>
      </c>
      <c r="N11" s="34" t="n">
        <v>81.795</v>
      </c>
      <c r="O11" s="34" t="n">
        <v>78</v>
      </c>
      <c r="P11" s="35" t="n">
        <v>81.795</v>
      </c>
      <c r="Q11" s="36" t="n">
        <v>3.795</v>
      </c>
      <c r="R11" s="37" t="n">
        <v>0.0486538461538462</v>
      </c>
      <c r="S11" s="38" t="n">
        <v>1.53</v>
      </c>
      <c r="T11" s="38" t="n">
        <v>1.87</v>
      </c>
      <c r="U11" s="38" t="n">
        <v>29.04</v>
      </c>
      <c r="V11" s="39" t="n">
        <v>0.0168649484536083</v>
      </c>
    </row>
    <row r="12" customFormat="false" ht="15.75" hidden="false" customHeight="true" outlineLevel="0" collapsed="false">
      <c r="A12" s="11" t="n">
        <v>7</v>
      </c>
      <c r="B12" s="12" t="s">
        <v>65</v>
      </c>
      <c r="C12" s="13" t="s">
        <v>66</v>
      </c>
      <c r="D12" s="14" t="s">
        <v>60</v>
      </c>
      <c r="E12" s="11" t="s">
        <v>61</v>
      </c>
      <c r="F12" s="14" t="s">
        <v>62</v>
      </c>
      <c r="G12" s="11" t="s">
        <v>38</v>
      </c>
      <c r="H12" s="14" t="s">
        <v>63</v>
      </c>
      <c r="I12" s="40" t="s">
        <v>56</v>
      </c>
      <c r="J12" s="11" t="s">
        <v>64</v>
      </c>
      <c r="K12" s="16" t="n">
        <v>440</v>
      </c>
      <c r="L12" s="17" t="n">
        <v>468.2</v>
      </c>
      <c r="M12" s="18" t="n">
        <v>100000</v>
      </c>
      <c r="N12" s="19" t="n">
        <v>46.82</v>
      </c>
      <c r="O12" s="19" t="n">
        <v>44</v>
      </c>
      <c r="P12" s="20" t="n">
        <v>46.82</v>
      </c>
      <c r="Q12" s="21" t="n">
        <v>2.82</v>
      </c>
      <c r="R12" s="22" t="n">
        <v>0.0640909090909091</v>
      </c>
      <c r="S12" s="23" t="n">
        <v>-0.79</v>
      </c>
      <c r="T12" s="24" t="n">
        <v>3.22</v>
      </c>
      <c r="U12" s="23" t="n">
        <v>-1.15</v>
      </c>
      <c r="V12" s="25" t="n">
        <v>0.00965360824742268</v>
      </c>
    </row>
    <row r="13" customFormat="false" ht="15.75" hidden="false" customHeight="true" outlineLevel="0" collapsed="false">
      <c r="A13" s="26" t="n">
        <v>8</v>
      </c>
      <c r="B13" s="27" t="s">
        <v>67</v>
      </c>
      <c r="C13" s="28" t="s">
        <v>68</v>
      </c>
      <c r="D13" s="29" t="s">
        <v>35</v>
      </c>
      <c r="E13" s="26" t="s">
        <v>69</v>
      </c>
      <c r="F13" s="29" t="s">
        <v>37</v>
      </c>
      <c r="G13" s="26" t="s">
        <v>38</v>
      </c>
      <c r="H13" s="29" t="s">
        <v>69</v>
      </c>
      <c r="I13" s="30" t="s">
        <v>40</v>
      </c>
      <c r="J13" s="26" t="s">
        <v>70</v>
      </c>
      <c r="K13" s="31" t="n">
        <v>188.5</v>
      </c>
      <c r="L13" s="32" t="n">
        <v>230.4</v>
      </c>
      <c r="M13" s="33" t="n">
        <v>360000</v>
      </c>
      <c r="N13" s="34" t="n">
        <v>82.944</v>
      </c>
      <c r="O13" s="34" t="n">
        <v>67.86</v>
      </c>
      <c r="P13" s="35" t="n">
        <v>82.944</v>
      </c>
      <c r="Q13" s="36" t="n">
        <v>15.084</v>
      </c>
      <c r="R13" s="37" t="n">
        <v>0.222281167108753</v>
      </c>
      <c r="S13" s="38" t="n">
        <v>3.66</v>
      </c>
      <c r="T13" s="44" t="n">
        <v>-6.75</v>
      </c>
      <c r="U13" s="38" t="n">
        <v>29.11</v>
      </c>
      <c r="V13" s="39" t="n">
        <v>0.0171018556701031</v>
      </c>
    </row>
    <row r="14" customFormat="false" ht="15.75" hidden="false" customHeight="true" outlineLevel="0" collapsed="false">
      <c r="A14" s="11" t="n">
        <v>9</v>
      </c>
      <c r="B14" s="12" t="s">
        <v>71</v>
      </c>
      <c r="C14" s="13" t="s">
        <v>72</v>
      </c>
      <c r="D14" s="14" t="s">
        <v>35</v>
      </c>
      <c r="E14" s="11" t="s">
        <v>73</v>
      </c>
      <c r="F14" s="14" t="s">
        <v>37</v>
      </c>
      <c r="G14" s="11" t="s">
        <v>74</v>
      </c>
      <c r="H14" s="14" t="s">
        <v>75</v>
      </c>
      <c r="I14" s="15" t="s">
        <v>40</v>
      </c>
      <c r="J14" s="11" t="s">
        <v>76</v>
      </c>
      <c r="K14" s="16" t="n">
        <v>72.3</v>
      </c>
      <c r="L14" s="17" t="n">
        <v>83.1</v>
      </c>
      <c r="M14" s="18" t="n">
        <v>900000</v>
      </c>
      <c r="N14" s="19" t="n">
        <v>74.79</v>
      </c>
      <c r="O14" s="19" t="n">
        <v>65.07</v>
      </c>
      <c r="P14" s="20" t="n">
        <v>74.79</v>
      </c>
      <c r="Q14" s="21" t="n">
        <v>9.72000000000001</v>
      </c>
      <c r="R14" s="22" t="n">
        <v>0.149377593360996</v>
      </c>
      <c r="S14" s="23" t="n">
        <v>-1.09</v>
      </c>
      <c r="T14" s="24" t="n">
        <v>13.45</v>
      </c>
      <c r="U14" s="24" t="n">
        <v>39.45</v>
      </c>
      <c r="V14" s="25" t="n">
        <v>0.015420618556701</v>
      </c>
    </row>
    <row r="15" customFormat="false" ht="15.75" hidden="false" customHeight="true" outlineLevel="0" collapsed="false">
      <c r="A15" s="26" t="n">
        <v>10</v>
      </c>
      <c r="B15" s="27" t="s">
        <v>77</v>
      </c>
      <c r="C15" s="28" t="s">
        <v>78</v>
      </c>
      <c r="D15" s="29" t="s">
        <v>35</v>
      </c>
      <c r="E15" s="26" t="s">
        <v>79</v>
      </c>
      <c r="F15" s="29" t="s">
        <v>37</v>
      </c>
      <c r="G15" s="26" t="s">
        <v>80</v>
      </c>
      <c r="H15" s="29" t="s">
        <v>39</v>
      </c>
      <c r="I15" s="30" t="s">
        <v>40</v>
      </c>
      <c r="J15" s="26" t="s">
        <v>81</v>
      </c>
      <c r="K15" s="31" t="n">
        <v>680.4</v>
      </c>
      <c r="L15" s="32" t="n">
        <v>870.2</v>
      </c>
      <c r="M15" s="33" t="n">
        <v>88000</v>
      </c>
      <c r="N15" s="34" t="n">
        <v>76.5776</v>
      </c>
      <c r="O15" s="34" t="n">
        <v>59.8752</v>
      </c>
      <c r="P15" s="35" t="n">
        <v>76.5776</v>
      </c>
      <c r="Q15" s="36" t="n">
        <v>16.7024</v>
      </c>
      <c r="R15" s="37" t="n">
        <v>0.278953556731335</v>
      </c>
      <c r="S15" s="44" t="n">
        <v>-2.05</v>
      </c>
      <c r="T15" s="38" t="n">
        <v>2</v>
      </c>
      <c r="U15" s="38" t="n">
        <v>6.57</v>
      </c>
      <c r="V15" s="39" t="n">
        <v>0.0157891958762887</v>
      </c>
    </row>
    <row r="16" customFormat="false" ht="15.75" hidden="false" customHeight="true" outlineLevel="0" collapsed="false">
      <c r="A16" s="11" t="n">
        <v>11</v>
      </c>
      <c r="B16" s="12" t="s">
        <v>82</v>
      </c>
      <c r="C16" s="13" t="s">
        <v>83</v>
      </c>
      <c r="D16" s="14" t="s">
        <v>84</v>
      </c>
      <c r="E16" s="11" t="s">
        <v>85</v>
      </c>
      <c r="F16" s="14" t="s">
        <v>86</v>
      </c>
      <c r="G16" s="11" t="s">
        <v>38</v>
      </c>
      <c r="H16" s="14" t="s">
        <v>85</v>
      </c>
      <c r="I16" s="15" t="s">
        <v>40</v>
      </c>
      <c r="J16" s="11" t="s">
        <v>87</v>
      </c>
      <c r="K16" s="16" t="n">
        <v>97.2</v>
      </c>
      <c r="L16" s="17" t="n">
        <v>98.4</v>
      </c>
      <c r="M16" s="18" t="n">
        <v>5000000</v>
      </c>
      <c r="N16" s="19" t="n">
        <v>492</v>
      </c>
      <c r="O16" s="19" t="n">
        <v>486</v>
      </c>
      <c r="P16" s="20" t="n">
        <v>492</v>
      </c>
      <c r="Q16" s="21" t="n">
        <v>6</v>
      </c>
      <c r="R16" s="22" t="n">
        <v>0.0123456790123457</v>
      </c>
      <c r="S16" s="23" t="n">
        <v>-0.74</v>
      </c>
      <c r="T16" s="24" t="n">
        <v>3.55</v>
      </c>
      <c r="U16" s="24" t="n">
        <v>21.51</v>
      </c>
      <c r="V16" s="25" t="n">
        <v>0.101443298969072</v>
      </c>
    </row>
    <row r="17" customFormat="false" ht="15.75" hidden="false" customHeight="true" outlineLevel="0" collapsed="false">
      <c r="A17" s="26" t="n">
        <v>12</v>
      </c>
      <c r="B17" s="27" t="s">
        <v>88</v>
      </c>
      <c r="C17" s="28" t="s">
        <v>89</v>
      </c>
      <c r="D17" s="29" t="s">
        <v>90</v>
      </c>
      <c r="E17" s="26" t="s">
        <v>91</v>
      </c>
      <c r="F17" s="29" t="s">
        <v>90</v>
      </c>
      <c r="G17" s="26" t="s">
        <v>38</v>
      </c>
      <c r="H17" s="29" t="s">
        <v>90</v>
      </c>
      <c r="I17" s="30" t="s">
        <v>40</v>
      </c>
      <c r="J17" s="26" t="s">
        <v>92</v>
      </c>
      <c r="K17" s="31" t="n">
        <v>76.8</v>
      </c>
      <c r="L17" s="32" t="n">
        <v>78.2</v>
      </c>
      <c r="M17" s="33" t="n">
        <v>750000</v>
      </c>
      <c r="N17" s="34" t="n">
        <v>58.65</v>
      </c>
      <c r="O17" s="34" t="n">
        <v>57.6</v>
      </c>
      <c r="P17" s="35" t="n">
        <v>58.65</v>
      </c>
      <c r="Q17" s="36" t="n">
        <v>1.05</v>
      </c>
      <c r="R17" s="37" t="n">
        <v>0.0182291666666666</v>
      </c>
      <c r="S17" s="44" t="n">
        <v>-0.79</v>
      </c>
      <c r="T17" s="38" t="n">
        <v>4.46</v>
      </c>
      <c r="U17" s="38" t="n">
        <v>28.28</v>
      </c>
      <c r="V17" s="39" t="n">
        <v>0.0120927835051546</v>
      </c>
    </row>
    <row r="18" customFormat="false" ht="15.75" hidden="false" customHeight="true" outlineLevel="0" collapsed="false">
      <c r="A18" s="11" t="n">
        <v>13</v>
      </c>
      <c r="B18" s="12" t="s">
        <v>93</v>
      </c>
      <c r="C18" s="13" t="s">
        <v>94</v>
      </c>
      <c r="D18" s="14" t="s">
        <v>95</v>
      </c>
      <c r="E18" s="11" t="s">
        <v>96</v>
      </c>
      <c r="F18" s="14" t="s">
        <v>97</v>
      </c>
      <c r="G18" s="11" t="s">
        <v>98</v>
      </c>
      <c r="H18" s="14" t="s">
        <v>95</v>
      </c>
      <c r="I18" s="15" t="s">
        <v>40</v>
      </c>
      <c r="J18" s="11" t="s">
        <v>99</v>
      </c>
      <c r="K18" s="16" t="n">
        <v>185.4</v>
      </c>
      <c r="L18" s="17" t="n">
        <v>220.8</v>
      </c>
      <c r="M18" s="18" t="n">
        <v>420000</v>
      </c>
      <c r="N18" s="19" t="n">
        <v>92.736</v>
      </c>
      <c r="O18" s="19" t="n">
        <v>77.868</v>
      </c>
      <c r="P18" s="20" t="n">
        <v>92.736</v>
      </c>
      <c r="Q18" s="21" t="n">
        <v>14.868</v>
      </c>
      <c r="R18" s="22" t="n">
        <v>0.190938511326861</v>
      </c>
      <c r="S18" s="23" t="n">
        <v>-1.58</v>
      </c>
      <c r="T18" s="23" t="n">
        <v>-3.65</v>
      </c>
      <c r="U18" s="24" t="n">
        <v>34.44</v>
      </c>
      <c r="V18" s="25" t="n">
        <v>0.019120824742268</v>
      </c>
    </row>
    <row r="19" customFormat="false" ht="15.75" hidden="false" customHeight="true" outlineLevel="0" collapsed="false">
      <c r="A19" s="26" t="n">
        <v>14</v>
      </c>
      <c r="B19" s="27" t="s">
        <v>100</v>
      </c>
      <c r="C19" s="28" t="s">
        <v>101</v>
      </c>
      <c r="D19" s="29" t="s">
        <v>95</v>
      </c>
      <c r="E19" s="26" t="s">
        <v>102</v>
      </c>
      <c r="F19" s="29" t="s">
        <v>103</v>
      </c>
      <c r="G19" s="26" t="s">
        <v>98</v>
      </c>
      <c r="H19" s="29" t="s">
        <v>55</v>
      </c>
      <c r="I19" s="43" t="s">
        <v>56</v>
      </c>
      <c r="J19" s="26" t="s">
        <v>104</v>
      </c>
      <c r="K19" s="31" t="n">
        <v>74.2</v>
      </c>
      <c r="L19" s="32" t="n">
        <v>69.4</v>
      </c>
      <c r="M19" s="33" t="n">
        <v>300</v>
      </c>
      <c r="N19" s="34" t="n">
        <v>0.02082</v>
      </c>
      <c r="O19" s="34" t="n">
        <v>0.02226</v>
      </c>
      <c r="P19" s="35" t="n">
        <v>0.02082</v>
      </c>
      <c r="Q19" s="45" t="n">
        <v>-0.00144</v>
      </c>
      <c r="R19" s="46" t="n">
        <v>-0.0646900269541778</v>
      </c>
      <c r="S19" s="38" t="n">
        <v>0.94</v>
      </c>
      <c r="T19" s="44" t="n">
        <v>-5.15</v>
      </c>
      <c r="U19" s="38" t="n">
        <v>8.16</v>
      </c>
      <c r="V19" s="39" t="n">
        <v>4.29278350515464E-006</v>
      </c>
    </row>
    <row r="20" customFormat="false" ht="15.75" hidden="false" customHeight="true" outlineLevel="0" collapsed="false">
      <c r="A20" s="11" t="n">
        <v>15</v>
      </c>
      <c r="B20" s="12" t="s">
        <v>105</v>
      </c>
      <c r="C20" s="13" t="s">
        <v>106</v>
      </c>
      <c r="D20" s="14" t="s">
        <v>107</v>
      </c>
      <c r="E20" s="11" t="s">
        <v>108</v>
      </c>
      <c r="F20" s="14" t="s">
        <v>103</v>
      </c>
      <c r="G20" s="11" t="s">
        <v>38</v>
      </c>
      <c r="H20" s="14" t="s">
        <v>63</v>
      </c>
      <c r="I20" s="15" t="s">
        <v>40</v>
      </c>
      <c r="J20" s="11" t="s">
        <v>109</v>
      </c>
      <c r="K20" s="16" t="n">
        <v>4820</v>
      </c>
      <c r="L20" s="17" t="n">
        <v>5485</v>
      </c>
      <c r="M20" s="18" t="n">
        <v>200</v>
      </c>
      <c r="N20" s="19" t="n">
        <v>1.097</v>
      </c>
      <c r="O20" s="19" t="n">
        <v>0.964</v>
      </c>
      <c r="P20" s="20" t="n">
        <v>1.097</v>
      </c>
      <c r="Q20" s="21" t="n">
        <v>0.133</v>
      </c>
      <c r="R20" s="22" t="n">
        <v>0.137966804979253</v>
      </c>
      <c r="S20" s="24" t="n">
        <v>1.16</v>
      </c>
      <c r="T20" s="23" t="n">
        <v>-3.52</v>
      </c>
      <c r="U20" s="24" t="n">
        <v>40.37</v>
      </c>
      <c r="V20" s="25" t="n">
        <v>0.000226185567010309</v>
      </c>
    </row>
    <row r="21" customFormat="false" ht="15.75" hidden="false" customHeight="true" outlineLevel="0" collapsed="false">
      <c r="A21" s="26" t="n">
        <v>16</v>
      </c>
      <c r="B21" s="27" t="s">
        <v>110</v>
      </c>
      <c r="C21" s="28" t="s">
        <v>111</v>
      </c>
      <c r="D21" s="29" t="s">
        <v>112</v>
      </c>
      <c r="E21" s="26" t="s">
        <v>113</v>
      </c>
      <c r="F21" s="29" t="s">
        <v>114</v>
      </c>
      <c r="G21" s="26" t="s">
        <v>98</v>
      </c>
      <c r="H21" s="29" t="s">
        <v>114</v>
      </c>
      <c r="I21" s="30" t="s">
        <v>40</v>
      </c>
      <c r="J21" s="26" t="s">
        <v>115</v>
      </c>
      <c r="K21" s="31" t="n">
        <v>1.084</v>
      </c>
      <c r="L21" s="32" t="n">
        <v>1.102</v>
      </c>
      <c r="M21" s="33" t="n">
        <v>500</v>
      </c>
      <c r="N21" s="34" t="n">
        <v>0.000551</v>
      </c>
      <c r="O21" s="34" t="n">
        <v>0.000542</v>
      </c>
      <c r="P21" s="35" t="n">
        <v>0.000551</v>
      </c>
      <c r="Q21" s="36" t="n">
        <v>9E-006</v>
      </c>
      <c r="R21" s="37" t="n">
        <v>0.0166051660516605</v>
      </c>
      <c r="S21" s="44" t="n">
        <v>-1.68</v>
      </c>
      <c r="T21" s="38" t="n">
        <v>10.76</v>
      </c>
      <c r="U21" s="38" t="n">
        <v>36.38</v>
      </c>
      <c r="V21" s="39" t="n">
        <v>1.1360824742268E-007</v>
      </c>
    </row>
    <row r="22" customFormat="false" ht="15.75" hidden="false" customHeight="true" outlineLevel="0" collapsed="false">
      <c r="A22" s="11" t="n">
        <v>17</v>
      </c>
      <c r="B22" s="12" t="s">
        <v>116</v>
      </c>
      <c r="C22" s="13" t="s">
        <v>117</v>
      </c>
      <c r="D22" s="14" t="s">
        <v>35</v>
      </c>
      <c r="E22" s="11" t="s">
        <v>36</v>
      </c>
      <c r="F22" s="14" t="s">
        <v>37</v>
      </c>
      <c r="G22" s="11" t="s">
        <v>38</v>
      </c>
      <c r="H22" s="14" t="s">
        <v>75</v>
      </c>
      <c r="I22" s="15" t="s">
        <v>40</v>
      </c>
      <c r="J22" s="11" t="s">
        <v>118</v>
      </c>
      <c r="K22" s="16" t="n">
        <v>178.2</v>
      </c>
      <c r="L22" s="17" t="n">
        <v>224.5</v>
      </c>
      <c r="M22" s="18" t="n">
        <v>380000</v>
      </c>
      <c r="N22" s="19" t="n">
        <v>85.31</v>
      </c>
      <c r="O22" s="19" t="n">
        <v>67.716</v>
      </c>
      <c r="P22" s="20" t="n">
        <v>85.31</v>
      </c>
      <c r="Q22" s="21" t="n">
        <v>17.594</v>
      </c>
      <c r="R22" s="22" t="n">
        <v>0.259820426487093</v>
      </c>
      <c r="S22" s="24" t="n">
        <v>3.14</v>
      </c>
      <c r="T22" s="23" t="n">
        <v>-3.47</v>
      </c>
      <c r="U22" s="24" t="n">
        <v>0.33</v>
      </c>
      <c r="V22" s="25" t="n">
        <v>0.0175896907216495</v>
      </c>
    </row>
    <row r="23" customFormat="false" ht="15.75" hidden="false" customHeight="true" outlineLevel="0" collapsed="false">
      <c r="A23" s="26" t="n">
        <v>18</v>
      </c>
      <c r="B23" s="27" t="s">
        <v>119</v>
      </c>
      <c r="C23" s="28" t="s">
        <v>120</v>
      </c>
      <c r="D23" s="29" t="s">
        <v>35</v>
      </c>
      <c r="E23" s="26" t="s">
        <v>79</v>
      </c>
      <c r="F23" s="29" t="s">
        <v>37</v>
      </c>
      <c r="G23" s="26" t="s">
        <v>74</v>
      </c>
      <c r="H23" s="29" t="s">
        <v>39</v>
      </c>
      <c r="I23" s="30" t="s">
        <v>40</v>
      </c>
      <c r="J23" s="26" t="s">
        <v>121</v>
      </c>
      <c r="K23" s="31" t="n">
        <v>148.6</v>
      </c>
      <c r="L23" s="32" t="n">
        <v>195.8</v>
      </c>
      <c r="M23" s="33" t="n">
        <v>620000</v>
      </c>
      <c r="N23" s="34" t="n">
        <v>121.396</v>
      </c>
      <c r="O23" s="34" t="n">
        <v>92.132</v>
      </c>
      <c r="P23" s="35" t="n">
        <v>121.396</v>
      </c>
      <c r="Q23" s="36" t="n">
        <v>29.264</v>
      </c>
      <c r="R23" s="37" t="n">
        <v>0.317631224764468</v>
      </c>
      <c r="S23" s="38" t="n">
        <v>0.71</v>
      </c>
      <c r="T23" s="38" t="n">
        <v>5.73</v>
      </c>
      <c r="U23" s="38" t="n">
        <v>9.21</v>
      </c>
      <c r="V23" s="39" t="n">
        <v>0.0250301030927835</v>
      </c>
    </row>
    <row r="24" customFormat="false" ht="15.75" hidden="false" customHeight="true" outlineLevel="0" collapsed="false">
      <c r="A24" s="11" t="n">
        <v>19</v>
      </c>
      <c r="B24" s="12" t="s">
        <v>122</v>
      </c>
      <c r="C24" s="13" t="s">
        <v>123</v>
      </c>
      <c r="D24" s="14" t="s">
        <v>35</v>
      </c>
      <c r="E24" s="11" t="s">
        <v>54</v>
      </c>
      <c r="F24" s="14" t="s">
        <v>37</v>
      </c>
      <c r="G24" s="11" t="s">
        <v>38</v>
      </c>
      <c r="H24" s="14" t="s">
        <v>69</v>
      </c>
      <c r="I24" s="15" t="s">
        <v>40</v>
      </c>
      <c r="J24" s="11" t="s">
        <v>124</v>
      </c>
      <c r="K24" s="16" t="n">
        <v>345.2</v>
      </c>
      <c r="L24" s="17" t="n">
        <v>468.3</v>
      </c>
      <c r="M24" s="18" t="n">
        <v>210000</v>
      </c>
      <c r="N24" s="19" t="n">
        <v>98.343</v>
      </c>
      <c r="O24" s="19" t="n">
        <v>72.492</v>
      </c>
      <c r="P24" s="20" t="n">
        <v>98.343</v>
      </c>
      <c r="Q24" s="21" t="n">
        <v>25.851</v>
      </c>
      <c r="R24" s="22" t="n">
        <v>0.356604866743917</v>
      </c>
      <c r="S24" s="24" t="n">
        <v>1.19</v>
      </c>
      <c r="T24" s="24" t="n">
        <v>9.99</v>
      </c>
      <c r="U24" s="24" t="n">
        <v>7.77</v>
      </c>
      <c r="V24" s="25" t="n">
        <v>0.0202769072164949</v>
      </c>
    </row>
    <row r="25" customFormat="false" ht="15.75" hidden="false" customHeight="true" outlineLevel="0" collapsed="false">
      <c r="A25" s="26" t="n">
        <v>20</v>
      </c>
      <c r="B25" s="27" t="s">
        <v>125</v>
      </c>
      <c r="C25" s="28" t="s">
        <v>126</v>
      </c>
      <c r="D25" s="29" t="s">
        <v>35</v>
      </c>
      <c r="E25" s="26" t="s">
        <v>127</v>
      </c>
      <c r="F25" s="29" t="s">
        <v>37</v>
      </c>
      <c r="G25" s="26" t="s">
        <v>38</v>
      </c>
      <c r="H25" s="29" t="s">
        <v>127</v>
      </c>
      <c r="I25" s="30" t="s">
        <v>40</v>
      </c>
      <c r="J25" s="26" t="s">
        <v>128</v>
      </c>
      <c r="K25" s="31" t="n">
        <v>520.4</v>
      </c>
      <c r="L25" s="32" t="n">
        <v>348.2</v>
      </c>
      <c r="M25" s="33" t="n">
        <v>180000</v>
      </c>
      <c r="N25" s="34" t="n">
        <v>62.676</v>
      </c>
      <c r="O25" s="34" t="n">
        <v>93.672</v>
      </c>
      <c r="P25" s="35" t="n">
        <v>62.676</v>
      </c>
      <c r="Q25" s="45" t="n">
        <v>-30.996</v>
      </c>
      <c r="R25" s="46" t="n">
        <v>-0.330899308224443</v>
      </c>
      <c r="S25" s="38" t="n">
        <v>1.13</v>
      </c>
      <c r="T25" s="38" t="n">
        <v>4.15</v>
      </c>
      <c r="U25" s="38" t="n">
        <v>15.36</v>
      </c>
      <c r="V25" s="39" t="n">
        <v>0.0129228865979381</v>
      </c>
    </row>
    <row r="26" customFormat="false" ht="18" hidden="false" customHeight="true" outlineLevel="0" collapsed="false">
      <c r="A26" s="47"/>
      <c r="B26" s="47"/>
      <c r="C26" s="48" t="s">
        <v>129</v>
      </c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9" t="n">
        <f aca="false">SUM(N6:N25)</f>
        <v>2080.993971</v>
      </c>
      <c r="O26" s="49" t="n">
        <f aca="false">SUM(O6:O25)</f>
        <v>1769.311002</v>
      </c>
      <c r="P26" s="49" t="n">
        <f aca="false">SUM(P6:P25)</f>
        <v>2080.993971</v>
      </c>
      <c r="Q26" s="49" t="n">
        <f aca="false">SUM(Q6:Q25)</f>
        <v>311.682969</v>
      </c>
      <c r="R26" s="47"/>
      <c r="S26" s="49" t="n">
        <f aca="false">SUM(S6:S25)</f>
        <v>5.2</v>
      </c>
      <c r="T26" s="49" t="n">
        <f aca="false">SUM(T6:T25)</f>
        <v>59.48</v>
      </c>
      <c r="U26" s="49" t="n">
        <f aca="false">SUM(U6:U25)</f>
        <v>396.57</v>
      </c>
      <c r="V26" s="50" t="n">
        <f aca="false">SUM(V6:V25)</f>
        <v>0.42907092185567</v>
      </c>
    </row>
  </sheetData>
  <mergeCells count="21">
    <mergeCell ref="A1:V1"/>
    <mergeCell ref="A2:H2"/>
    <mergeCell ref="I2:N2"/>
    <mergeCell ref="B3:C3"/>
    <mergeCell ref="D3:F3"/>
    <mergeCell ref="G3:I3"/>
    <mergeCell ref="J3:K3"/>
    <mergeCell ref="L3:M3"/>
    <mergeCell ref="N3:O3"/>
    <mergeCell ref="P3:Q3"/>
    <mergeCell ref="R3:S3"/>
    <mergeCell ref="T3:U3"/>
    <mergeCell ref="B4:C4"/>
    <mergeCell ref="D4:F4"/>
    <mergeCell ref="G4:I4"/>
    <mergeCell ref="J4:K4"/>
    <mergeCell ref="L4:M4"/>
    <mergeCell ref="N4:O4"/>
    <mergeCell ref="P4:Q4"/>
    <mergeCell ref="R4:S4"/>
    <mergeCell ref="T4:U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11" min="4" style="0" width="12"/>
    <col collapsed="false" customWidth="true" hidden="false" outlineLevel="0" max="12" min="12" style="0" width="14"/>
    <col collapsed="false" customWidth="true" hidden="false" outlineLevel="0" max="13" min="13" style="0" width="12"/>
    <col collapsed="false" customWidth="true" hidden="false" outlineLevel="0" max="14" min="14" style="0" width="14"/>
  </cols>
  <sheetData>
    <row r="1" customFormat="false" ht="31.5" hidden="false" customHeight="true" outlineLevel="0" collapsed="false">
      <c r="A1" s="51" t="s">
        <v>130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</row>
    <row r="2" customFormat="false" ht="15.75" hidden="false" customHeight="true" outlineLevel="0" collapsed="false">
      <c r="A2" s="52" t="s">
        <v>131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</row>
    <row r="3" customFormat="false" ht="6" hidden="false" customHeight="true" outlineLevel="0" collapsed="false"/>
    <row r="4" customFormat="false" ht="27.75" hidden="false" customHeight="true" outlineLevel="0" collapsed="false">
      <c r="A4" s="10"/>
      <c r="B4" s="10" t="s">
        <v>132</v>
      </c>
      <c r="C4" s="10" t="s">
        <v>133</v>
      </c>
      <c r="D4" s="10" t="s">
        <v>134</v>
      </c>
      <c r="E4" s="10" t="s">
        <v>135</v>
      </c>
      <c r="F4" s="10" t="s">
        <v>136</v>
      </c>
      <c r="G4" s="10" t="s">
        <v>137</v>
      </c>
      <c r="H4" s="10" t="s">
        <v>138</v>
      </c>
      <c r="I4" s="10" t="s">
        <v>139</v>
      </c>
      <c r="J4" s="10" t="s">
        <v>140</v>
      </c>
      <c r="K4" s="10" t="s">
        <v>141</v>
      </c>
      <c r="L4" s="10" t="s">
        <v>142</v>
      </c>
      <c r="M4" s="10" t="s">
        <v>143</v>
      </c>
      <c r="N4" s="10" t="s">
        <v>144</v>
      </c>
    </row>
    <row r="5" customFormat="false" ht="18" hidden="false" customHeight="true" outlineLevel="0" collapsed="false">
      <c r="A5" s="11" t="n">
        <v>1</v>
      </c>
      <c r="B5" s="53" t="s">
        <v>145</v>
      </c>
      <c r="C5" s="19" t="n">
        <v>1840</v>
      </c>
      <c r="D5" s="22" t="n">
        <v>0.031</v>
      </c>
      <c r="E5" s="22" t="n">
        <v>0.071</v>
      </c>
      <c r="F5" s="54" t="n">
        <v>0.284</v>
      </c>
      <c r="G5" s="22" t="n">
        <v>0.612</v>
      </c>
      <c r="H5" s="55" t="s">
        <v>146</v>
      </c>
      <c r="I5" s="54" t="n">
        <v>0.142</v>
      </c>
      <c r="J5" s="56" t="n">
        <v>2.21</v>
      </c>
      <c r="K5" s="56" t="n">
        <v>3.08</v>
      </c>
      <c r="L5" s="42" t="n">
        <v>-0.0481</v>
      </c>
      <c r="M5" s="57" t="n">
        <v>0.63</v>
      </c>
      <c r="N5" s="58" t="n">
        <v>2.84</v>
      </c>
    </row>
    <row r="6" customFormat="false" ht="18" hidden="false" customHeight="true" outlineLevel="0" collapsed="false">
      <c r="A6" s="26" t="n">
        <v>2</v>
      </c>
      <c r="B6" s="59" t="s">
        <v>147</v>
      </c>
      <c r="C6" s="34" t="n">
        <v>620</v>
      </c>
      <c r="D6" s="37" t="n">
        <v>0.018</v>
      </c>
      <c r="E6" s="37" t="n">
        <v>0.042</v>
      </c>
      <c r="F6" s="60" t="n">
        <v>0.198</v>
      </c>
      <c r="G6" s="37" t="n">
        <v>0.384</v>
      </c>
      <c r="H6" s="61" t="s">
        <v>148</v>
      </c>
      <c r="I6" s="60" t="n">
        <v>0.112</v>
      </c>
      <c r="J6" s="62" t="n">
        <v>1.74</v>
      </c>
      <c r="K6" s="62" t="n">
        <v>2.41</v>
      </c>
      <c r="L6" s="46" t="n">
        <v>-0.0612</v>
      </c>
      <c r="M6" s="63" t="n">
        <v>0.58</v>
      </c>
      <c r="N6" s="64" t="n">
        <v>2.12</v>
      </c>
    </row>
    <row r="7" customFormat="false" ht="18" hidden="false" customHeight="true" outlineLevel="0" collapsed="false">
      <c r="A7" s="11" t="n">
        <v>3</v>
      </c>
      <c r="B7" s="53" t="s">
        <v>149</v>
      </c>
      <c r="C7" s="19" t="n">
        <v>410</v>
      </c>
      <c r="D7" s="22" t="n">
        <v>0.024</v>
      </c>
      <c r="E7" s="22" t="n">
        <v>0.058</v>
      </c>
      <c r="F7" s="54" t="n">
        <v>0.216</v>
      </c>
      <c r="G7" s="22" t="n">
        <v>0.488</v>
      </c>
      <c r="H7" s="55" t="s">
        <v>150</v>
      </c>
      <c r="I7" s="54" t="n">
        <v>0.084</v>
      </c>
      <c r="J7" s="56" t="n">
        <v>1.48</v>
      </c>
      <c r="K7" s="56" t="n">
        <v>1.92</v>
      </c>
      <c r="L7" s="42" t="n">
        <v>-0.082</v>
      </c>
      <c r="M7" s="57" t="n">
        <v>0.55</v>
      </c>
      <c r="N7" s="58" t="n">
        <v>1.88</v>
      </c>
    </row>
    <row r="8" customFormat="false" ht="18" hidden="false" customHeight="true" outlineLevel="0" collapsed="false">
      <c r="A8" s="26" t="n">
        <v>4</v>
      </c>
      <c r="B8" s="59" t="s">
        <v>151</v>
      </c>
      <c r="C8" s="34" t="n">
        <v>540</v>
      </c>
      <c r="D8" s="37" t="n">
        <v>0.008</v>
      </c>
      <c r="E8" s="37" t="n">
        <v>0.021</v>
      </c>
      <c r="F8" s="60" t="n">
        <v>0.048</v>
      </c>
      <c r="G8" s="37" t="n">
        <v>0.112</v>
      </c>
      <c r="H8" s="61" t="s">
        <v>152</v>
      </c>
      <c r="I8" s="60" t="n">
        <v>0.024</v>
      </c>
      <c r="J8" s="62" t="n">
        <v>1.92</v>
      </c>
      <c r="K8" s="62" t="n">
        <v>2.84</v>
      </c>
      <c r="L8" s="46" t="n">
        <v>-0.021</v>
      </c>
      <c r="M8" s="63" t="n">
        <v>0.71</v>
      </c>
      <c r="N8" s="64" t="n">
        <v>4.12</v>
      </c>
    </row>
    <row r="9" customFormat="false" ht="18" hidden="false" customHeight="true" outlineLevel="0" collapsed="false">
      <c r="A9" s="11" t="n">
        <v>5</v>
      </c>
      <c r="B9" s="53" t="s">
        <v>153</v>
      </c>
      <c r="C9" s="19" t="n">
        <v>320</v>
      </c>
      <c r="D9" s="22" t="n">
        <v>0.012</v>
      </c>
      <c r="E9" s="22" t="n">
        <v>0.031</v>
      </c>
      <c r="F9" s="54" t="n">
        <v>0.092</v>
      </c>
      <c r="G9" s="22" t="n">
        <v>0.248</v>
      </c>
      <c r="H9" s="55" t="s">
        <v>154</v>
      </c>
      <c r="I9" s="54" t="n">
        <v>0.041</v>
      </c>
      <c r="J9" s="56" t="n">
        <v>1.38</v>
      </c>
      <c r="K9" s="56" t="n">
        <v>1.74</v>
      </c>
      <c r="L9" s="42" t="n">
        <v>-0.038</v>
      </c>
      <c r="M9" s="57" t="n">
        <v>0.62</v>
      </c>
      <c r="N9" s="58" t="n">
        <v>2.44</v>
      </c>
    </row>
    <row r="10" customFormat="false" ht="18" hidden="false" customHeight="true" outlineLevel="0" collapsed="false">
      <c r="A10" s="26" t="n">
        <v>6</v>
      </c>
      <c r="B10" s="59" t="s">
        <v>155</v>
      </c>
      <c r="C10" s="34" t="n">
        <v>380</v>
      </c>
      <c r="D10" s="37" t="n">
        <v>0.021</v>
      </c>
      <c r="E10" s="37" t="n">
        <v>0.048</v>
      </c>
      <c r="F10" s="60" t="n">
        <v>0.182</v>
      </c>
      <c r="G10" s="37" t="n">
        <v>0.394</v>
      </c>
      <c r="H10" s="61" t="s">
        <v>156</v>
      </c>
      <c r="I10" s="60" t="n">
        <v>0.092</v>
      </c>
      <c r="J10" s="62" t="n">
        <v>1.62</v>
      </c>
      <c r="K10" s="62" t="n">
        <v>2.18</v>
      </c>
      <c r="L10" s="46" t="n">
        <v>-0.0541</v>
      </c>
      <c r="M10" s="63" t="n">
        <v>0.56</v>
      </c>
      <c r="N10" s="64" t="n">
        <v>2.28</v>
      </c>
    </row>
    <row r="11" customFormat="false" ht="18" hidden="false" customHeight="true" outlineLevel="0" collapsed="false">
      <c r="A11" s="11" t="n">
        <v>7</v>
      </c>
      <c r="B11" s="53" t="s">
        <v>95</v>
      </c>
      <c r="C11" s="19" t="n">
        <v>240</v>
      </c>
      <c r="D11" s="22" t="n">
        <v>0.018</v>
      </c>
      <c r="E11" s="22" t="n">
        <v>0.038</v>
      </c>
      <c r="F11" s="54" t="n">
        <v>0.128</v>
      </c>
      <c r="G11" s="22" t="n">
        <v>0.284</v>
      </c>
      <c r="H11" s="55" t="s">
        <v>157</v>
      </c>
      <c r="I11" s="54" t="n">
        <v>0.048</v>
      </c>
      <c r="J11" s="56" t="n">
        <v>1.24</v>
      </c>
      <c r="K11" s="56" t="n">
        <v>1.62</v>
      </c>
      <c r="L11" s="42" t="n">
        <v>-0.072</v>
      </c>
      <c r="M11" s="57" t="n">
        <v>0.52</v>
      </c>
      <c r="N11" s="58" t="n">
        <v>1.92</v>
      </c>
    </row>
    <row r="12" customFormat="false" ht="18" hidden="false" customHeight="true" outlineLevel="0" collapsed="false">
      <c r="A12" s="26" t="n">
        <v>8</v>
      </c>
      <c r="B12" s="59" t="s">
        <v>158</v>
      </c>
      <c r="C12" s="34" t="n">
        <v>280</v>
      </c>
      <c r="D12" s="37" t="n">
        <v>0.014</v>
      </c>
      <c r="E12" s="37" t="n">
        <v>0.034</v>
      </c>
      <c r="F12" s="60" t="n">
        <v>0.142</v>
      </c>
      <c r="G12" s="37" t="n">
        <v>0.328</v>
      </c>
      <c r="H12" s="61" t="s">
        <v>148</v>
      </c>
      <c r="I12" s="60" t="n">
        <v>0.056</v>
      </c>
      <c r="J12" s="62" t="n">
        <v>1.82</v>
      </c>
      <c r="K12" s="62" t="n">
        <v>2.44</v>
      </c>
      <c r="L12" s="46" t="n">
        <v>-0.041</v>
      </c>
      <c r="M12" s="63" t="n">
        <v>0.64</v>
      </c>
      <c r="N12" s="64" t="n">
        <v>2.68</v>
      </c>
    </row>
    <row r="13" customFormat="false" ht="18" hidden="false" customHeight="true" outlineLevel="0" collapsed="false">
      <c r="A13" s="11" t="n">
        <v>9</v>
      </c>
      <c r="B13" s="53" t="s">
        <v>159</v>
      </c>
      <c r="C13" s="19" t="n">
        <v>240</v>
      </c>
      <c r="D13" s="22" t="n">
        <v>0.011</v>
      </c>
      <c r="E13" s="22" t="n">
        <v>0.024</v>
      </c>
      <c r="F13" s="54" t="n">
        <v>0.088</v>
      </c>
      <c r="G13" s="22" t="n">
        <v>0.204</v>
      </c>
      <c r="H13" s="55" t="s">
        <v>160</v>
      </c>
      <c r="I13" s="54" t="n">
        <v>0.072</v>
      </c>
      <c r="J13" s="56" t="n">
        <v>2.84</v>
      </c>
      <c r="K13" s="56" t="n">
        <v>3.92</v>
      </c>
      <c r="L13" s="42" t="n">
        <v>-0.018</v>
      </c>
      <c r="M13" s="57" t="n">
        <v>0.68</v>
      </c>
      <c r="N13" s="58" t="n">
        <v>3.48</v>
      </c>
    </row>
    <row r="14" customFormat="false" ht="18" hidden="false" customHeight="true" outlineLevel="0" collapsed="false">
      <c r="A14" s="65"/>
      <c r="B14" s="66" t="s">
        <v>161</v>
      </c>
      <c r="C14" s="49" t="n">
        <v>4870</v>
      </c>
      <c r="D14" s="67" t="n">
        <f aca="false">AVERAGE(D5:D13)</f>
        <v>0.0174444444444444</v>
      </c>
      <c r="E14" s="67" t="n">
        <f aca="false">AVERAGE(E5:E13)</f>
        <v>0.0407777777777778</v>
      </c>
      <c r="F14" s="67" t="n">
        <f aca="false">AVERAGE(F5:F13)</f>
        <v>0.153111111111111</v>
      </c>
      <c r="G14" s="67" t="n">
        <f aca="false">AVERAGE(G5:G13)</f>
        <v>0.339333333333333</v>
      </c>
      <c r="H14" s="68"/>
      <c r="I14" s="68"/>
      <c r="J14" s="69" t="n">
        <f aca="false">AVERAGE(J5:J13)</f>
        <v>1.80555555555556</v>
      </c>
      <c r="K14" s="69" t="n">
        <f aca="false">AVERAGE(K5:K13)</f>
        <v>2.46111111111111</v>
      </c>
      <c r="L14" s="68"/>
      <c r="M14" s="67" t="n">
        <f aca="false">AVERAGE(M5:M13)</f>
        <v>0.61</v>
      </c>
      <c r="N14" s="69" t="n">
        <f aca="false">AVERAGE(N5:N13)</f>
        <v>2.64</v>
      </c>
    </row>
  </sheetData>
  <mergeCells count="2">
    <mergeCell ref="A1:N1"/>
    <mergeCell ref="A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12" min="3" style="0" width="14"/>
  </cols>
  <sheetData>
    <row r="1" customFormat="false" ht="31.5" hidden="false" customHeight="true" outlineLevel="0" collapsed="false">
      <c r="A1" s="51" t="s">
        <v>162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</row>
    <row r="3" customFormat="false" ht="21.75" hidden="false" customHeight="true" outlineLevel="0" collapsed="false">
      <c r="A3" s="70" t="s">
        <v>163</v>
      </c>
      <c r="B3" s="70"/>
      <c r="C3" s="70"/>
      <c r="D3" s="70"/>
      <c r="E3" s="70"/>
      <c r="F3" s="70"/>
      <c r="G3" s="70"/>
      <c r="H3" s="70"/>
      <c r="I3" s="70"/>
      <c r="J3" s="70"/>
      <c r="K3" s="70"/>
      <c r="L3" s="70"/>
    </row>
    <row r="4" customFormat="false" ht="27.75" hidden="false" customHeight="true" outlineLevel="0" collapsed="false">
      <c r="A4" s="10"/>
      <c r="B4" s="10" t="s">
        <v>14</v>
      </c>
      <c r="C4" s="10" t="s">
        <v>164</v>
      </c>
      <c r="D4" s="10" t="s">
        <v>165</v>
      </c>
      <c r="E4" s="10" t="s">
        <v>5</v>
      </c>
      <c r="F4" s="10" t="s">
        <v>4</v>
      </c>
      <c r="G4" s="10" t="s">
        <v>166</v>
      </c>
      <c r="H4" s="10" t="s">
        <v>167</v>
      </c>
      <c r="I4" s="10" t="s">
        <v>168</v>
      </c>
      <c r="J4" s="10" t="s">
        <v>169</v>
      </c>
      <c r="K4" s="10" t="s">
        <v>170</v>
      </c>
      <c r="L4" s="10" t="s">
        <v>171</v>
      </c>
    </row>
    <row r="5" customFormat="false" ht="15.75" hidden="false" customHeight="true" outlineLevel="0" collapsed="false">
      <c r="A5" s="11" t="n">
        <v>1</v>
      </c>
      <c r="B5" s="71" t="s">
        <v>145</v>
      </c>
      <c r="C5" s="19" t="n">
        <v>2420</v>
      </c>
      <c r="D5" s="19" t="n">
        <v>580</v>
      </c>
      <c r="E5" s="20" t="n">
        <v>1840</v>
      </c>
      <c r="F5" s="19" t="n">
        <v>3000</v>
      </c>
      <c r="G5" s="57" t="n">
        <v>0.379</v>
      </c>
      <c r="H5" s="57" t="n">
        <v>0.617</v>
      </c>
      <c r="I5" s="56" t="n">
        <v>1.24</v>
      </c>
      <c r="J5" s="23" t="n">
        <v>-12.4</v>
      </c>
      <c r="K5" s="23" t="n">
        <v>-18.6</v>
      </c>
      <c r="L5" s="72" t="n">
        <v>0.72</v>
      </c>
    </row>
    <row r="6" customFormat="false" ht="15.75" hidden="false" customHeight="true" outlineLevel="0" collapsed="false">
      <c r="A6" s="26" t="n">
        <v>2</v>
      </c>
      <c r="B6" s="73" t="s">
        <v>147</v>
      </c>
      <c r="C6" s="34" t="n">
        <v>840</v>
      </c>
      <c r="D6" s="34" t="n">
        <v>220</v>
      </c>
      <c r="E6" s="35" t="n">
        <v>620</v>
      </c>
      <c r="F6" s="34" t="n">
        <v>1060</v>
      </c>
      <c r="G6" s="63" t="n">
        <v>0.127</v>
      </c>
      <c r="H6" s="63" t="n">
        <v>0.218</v>
      </c>
      <c r="I6" s="62" t="n">
        <v>0.88</v>
      </c>
      <c r="J6" s="44" t="n">
        <v>-8.2</v>
      </c>
      <c r="K6" s="44" t="n">
        <v>-12.8</v>
      </c>
      <c r="L6" s="72" t="n">
        <v>0.61</v>
      </c>
    </row>
    <row r="7" customFormat="false" ht="15.75" hidden="false" customHeight="true" outlineLevel="0" collapsed="false">
      <c r="A7" s="11" t="n">
        <v>3</v>
      </c>
      <c r="B7" s="71" t="s">
        <v>149</v>
      </c>
      <c r="C7" s="19" t="n">
        <v>520</v>
      </c>
      <c r="D7" s="19" t="n">
        <v>110</v>
      </c>
      <c r="E7" s="20" t="n">
        <v>410</v>
      </c>
      <c r="F7" s="19" t="n">
        <v>630</v>
      </c>
      <c r="G7" s="57" t="n">
        <v>0.084</v>
      </c>
      <c r="H7" s="57" t="n">
        <v>0.129</v>
      </c>
      <c r="I7" s="56" t="n">
        <v>1.18</v>
      </c>
      <c r="J7" s="23" t="n">
        <v>-6.4</v>
      </c>
      <c r="K7" s="23" t="n">
        <v>-9.8</v>
      </c>
      <c r="L7" s="74" t="n">
        <v>0.58</v>
      </c>
    </row>
    <row r="8" customFormat="false" ht="15.75" hidden="false" customHeight="true" outlineLevel="0" collapsed="false">
      <c r="A8" s="26" t="n">
        <v>4</v>
      </c>
      <c r="B8" s="73" t="s">
        <v>84</v>
      </c>
      <c r="C8" s="34" t="n">
        <v>680</v>
      </c>
      <c r="D8" s="34" t="n">
        <v>140</v>
      </c>
      <c r="E8" s="35" t="n">
        <v>540</v>
      </c>
      <c r="F8" s="34" t="n">
        <v>820</v>
      </c>
      <c r="G8" s="63" t="n">
        <v>0.111</v>
      </c>
      <c r="H8" s="63" t="n">
        <v>0.168</v>
      </c>
      <c r="I8" s="62" t="n">
        <v>0.12</v>
      </c>
      <c r="J8" s="44" t="n">
        <v>-3.2</v>
      </c>
      <c r="K8" s="44" t="n">
        <v>-4.8</v>
      </c>
      <c r="L8" s="74" t="n">
        <v>0.44</v>
      </c>
    </row>
    <row r="9" customFormat="false" ht="15.75" hidden="false" customHeight="true" outlineLevel="0" collapsed="false">
      <c r="A9" s="11" t="n">
        <v>5</v>
      </c>
      <c r="B9" s="71" t="s">
        <v>90</v>
      </c>
      <c r="C9" s="19" t="n">
        <v>420</v>
      </c>
      <c r="D9" s="19" t="n">
        <v>100</v>
      </c>
      <c r="E9" s="20" t="n">
        <v>320</v>
      </c>
      <c r="F9" s="19" t="n">
        <v>520</v>
      </c>
      <c r="G9" s="57" t="n">
        <v>0.066</v>
      </c>
      <c r="H9" s="57" t="n">
        <v>0.107</v>
      </c>
      <c r="I9" s="56" t="n">
        <v>0.28</v>
      </c>
      <c r="J9" s="23" t="n">
        <v>-4.1</v>
      </c>
      <c r="K9" s="23" t="n">
        <v>-6.2</v>
      </c>
      <c r="L9" s="74" t="n">
        <v>0.51</v>
      </c>
    </row>
    <row r="10" customFormat="false" ht="15.75" hidden="false" customHeight="true" outlineLevel="0" collapsed="false">
      <c r="A10" s="26" t="n">
        <v>6</v>
      </c>
      <c r="B10" s="73" t="s">
        <v>172</v>
      </c>
      <c r="C10" s="34" t="n">
        <v>580</v>
      </c>
      <c r="D10" s="34" t="n">
        <v>200</v>
      </c>
      <c r="E10" s="35" t="n">
        <v>380</v>
      </c>
      <c r="F10" s="34" t="n">
        <v>780</v>
      </c>
      <c r="G10" s="63" t="n">
        <v>0.078</v>
      </c>
      <c r="H10" s="63" t="n">
        <v>0.16</v>
      </c>
      <c r="I10" s="62" t="n">
        <v>-0.14</v>
      </c>
      <c r="J10" s="44" t="n">
        <v>-7.8</v>
      </c>
      <c r="K10" s="44" t="n">
        <v>-11.2</v>
      </c>
      <c r="L10" s="72" t="n">
        <v>0.68</v>
      </c>
    </row>
    <row r="11" customFormat="false" ht="15.75" hidden="false" customHeight="true" outlineLevel="0" collapsed="false">
      <c r="A11" s="11" t="n">
        <v>7</v>
      </c>
      <c r="B11" s="71" t="s">
        <v>95</v>
      </c>
      <c r="C11" s="19" t="n">
        <v>320</v>
      </c>
      <c r="D11" s="19" t="n">
        <v>80</v>
      </c>
      <c r="E11" s="20" t="n">
        <v>240</v>
      </c>
      <c r="F11" s="19" t="n">
        <v>400</v>
      </c>
      <c r="G11" s="57" t="n">
        <v>0.049</v>
      </c>
      <c r="H11" s="57" t="n">
        <v>0.082</v>
      </c>
      <c r="I11" s="56" t="n">
        <v>0.08</v>
      </c>
      <c r="J11" s="23" t="n">
        <v>-5.6</v>
      </c>
      <c r="K11" s="23" t="n">
        <v>-8.4</v>
      </c>
      <c r="L11" s="72" t="n">
        <v>0.62</v>
      </c>
    </row>
    <row r="12" customFormat="false" ht="15.75" hidden="false" customHeight="true" outlineLevel="0" collapsed="false">
      <c r="A12" s="26" t="n">
        <v>8</v>
      </c>
      <c r="B12" s="73" t="s">
        <v>158</v>
      </c>
      <c r="C12" s="34" t="n">
        <v>380</v>
      </c>
      <c r="D12" s="34" t="n">
        <v>100</v>
      </c>
      <c r="E12" s="35" t="n">
        <v>280</v>
      </c>
      <c r="F12" s="34" t="n">
        <v>480</v>
      </c>
      <c r="G12" s="63" t="n">
        <v>0.058</v>
      </c>
      <c r="H12" s="63" t="n">
        <v>0.099</v>
      </c>
      <c r="I12" s="62" t="n">
        <v>0.42</v>
      </c>
      <c r="J12" s="44" t="n">
        <v>-4.4</v>
      </c>
      <c r="K12" s="44" t="n">
        <v>-6.6</v>
      </c>
      <c r="L12" s="74" t="n">
        <v>0.55</v>
      </c>
    </row>
    <row r="13" customFormat="false" ht="15.75" hidden="false" customHeight="true" outlineLevel="0" collapsed="false">
      <c r="A13" s="11" t="n">
        <v>9</v>
      </c>
      <c r="B13" s="71" t="s">
        <v>173</v>
      </c>
      <c r="C13" s="19" t="n">
        <v>280</v>
      </c>
      <c r="D13" s="19" t="n">
        <v>40</v>
      </c>
      <c r="E13" s="20" t="n">
        <v>240</v>
      </c>
      <c r="F13" s="19" t="n">
        <v>320</v>
      </c>
      <c r="G13" s="57" t="n">
        <v>0.049</v>
      </c>
      <c r="H13" s="57" t="n">
        <v>0.066</v>
      </c>
      <c r="I13" s="56" t="n">
        <v>0.04</v>
      </c>
      <c r="J13" s="23" t="n">
        <v>-2.1</v>
      </c>
      <c r="K13" s="23" t="n">
        <v>-3.2</v>
      </c>
      <c r="L13" s="74" t="n">
        <v>0.38</v>
      </c>
    </row>
    <row r="16" customFormat="false" ht="21.75" hidden="false" customHeight="true" outlineLevel="0" collapsed="false">
      <c r="A16" s="70" t="s">
        <v>174</v>
      </c>
      <c r="B16" s="70"/>
      <c r="C16" s="70"/>
      <c r="D16" s="70"/>
      <c r="E16" s="70"/>
      <c r="F16" s="70"/>
      <c r="G16" s="70"/>
      <c r="H16" s="70"/>
      <c r="I16" s="70"/>
      <c r="J16" s="70"/>
      <c r="K16" s="70"/>
      <c r="L16" s="70"/>
    </row>
    <row r="17" customFormat="false" ht="27.75" hidden="false" customHeight="true" outlineLevel="0" collapsed="false">
      <c r="A17" s="10"/>
      <c r="B17" s="10" t="s">
        <v>175</v>
      </c>
      <c r="C17" s="10" t="s">
        <v>176</v>
      </c>
      <c r="D17" s="10" t="s">
        <v>177</v>
      </c>
      <c r="E17" s="10" t="s">
        <v>178</v>
      </c>
      <c r="F17" s="10" t="s">
        <v>179</v>
      </c>
      <c r="G17" s="10" t="s">
        <v>180</v>
      </c>
      <c r="H17" s="10" t="s">
        <v>181</v>
      </c>
    </row>
    <row r="18" customFormat="false" ht="15.75" hidden="false" customHeight="true" outlineLevel="0" collapsed="false">
      <c r="A18" s="11" t="n">
        <v>1</v>
      </c>
      <c r="B18" s="75" t="s">
        <v>182</v>
      </c>
      <c r="C18" s="11" t="s">
        <v>183</v>
      </c>
      <c r="D18" s="12" t="s">
        <v>184</v>
      </c>
      <c r="E18" s="14" t="s">
        <v>185</v>
      </c>
      <c r="F18" s="76" t="s">
        <v>186</v>
      </c>
      <c r="G18" s="11" t="s">
        <v>187</v>
      </c>
      <c r="H18" s="11" t="s">
        <v>188</v>
      </c>
    </row>
    <row r="19" customFormat="false" ht="15.75" hidden="false" customHeight="true" outlineLevel="0" collapsed="false">
      <c r="A19" s="26" t="n">
        <v>2</v>
      </c>
      <c r="B19" s="77" t="s">
        <v>189</v>
      </c>
      <c r="C19" s="26" t="s">
        <v>190</v>
      </c>
      <c r="D19" s="27" t="s">
        <v>191</v>
      </c>
      <c r="E19" s="29" t="s">
        <v>192</v>
      </c>
      <c r="F19" s="76" t="s">
        <v>186</v>
      </c>
      <c r="G19" s="26" t="s">
        <v>193</v>
      </c>
      <c r="H19" s="26" t="s">
        <v>194</v>
      </c>
    </row>
    <row r="20" customFormat="false" ht="15.75" hidden="false" customHeight="true" outlineLevel="0" collapsed="false">
      <c r="A20" s="11" t="n">
        <v>3</v>
      </c>
      <c r="B20" s="75" t="s">
        <v>195</v>
      </c>
      <c r="C20" s="11" t="s">
        <v>196</v>
      </c>
      <c r="D20" s="12" t="s">
        <v>197</v>
      </c>
      <c r="E20" s="14" t="s">
        <v>198</v>
      </c>
      <c r="F20" s="76" t="s">
        <v>186</v>
      </c>
      <c r="G20" s="11" t="s">
        <v>44</v>
      </c>
      <c r="H20" s="11" t="s">
        <v>194</v>
      </c>
    </row>
    <row r="21" customFormat="false" ht="15.75" hidden="false" customHeight="true" outlineLevel="0" collapsed="false">
      <c r="A21" s="26" t="n">
        <v>4</v>
      </c>
      <c r="B21" s="77" t="s">
        <v>199</v>
      </c>
      <c r="C21" s="26" t="s">
        <v>200</v>
      </c>
      <c r="D21" s="27" t="s">
        <v>201</v>
      </c>
      <c r="E21" s="29" t="s">
        <v>202</v>
      </c>
      <c r="F21" s="78" t="s">
        <v>203</v>
      </c>
      <c r="G21" s="26" t="s">
        <v>204</v>
      </c>
      <c r="H21" s="26" t="s">
        <v>205</v>
      </c>
    </row>
    <row r="22" customFormat="false" ht="15.75" hidden="false" customHeight="true" outlineLevel="0" collapsed="false">
      <c r="A22" s="11" t="n">
        <v>5</v>
      </c>
      <c r="B22" s="75" t="s">
        <v>10</v>
      </c>
      <c r="C22" s="11" t="s">
        <v>206</v>
      </c>
      <c r="D22" s="12" t="s">
        <v>207</v>
      </c>
      <c r="E22" s="14" t="s">
        <v>208</v>
      </c>
      <c r="F22" s="76" t="s">
        <v>186</v>
      </c>
      <c r="G22" s="11" t="s">
        <v>209</v>
      </c>
      <c r="H22" s="11" t="s">
        <v>194</v>
      </c>
    </row>
    <row r="23" customFormat="false" ht="15.75" hidden="false" customHeight="true" outlineLevel="0" collapsed="false">
      <c r="A23" s="26" t="n">
        <v>6</v>
      </c>
      <c r="B23" s="77" t="s">
        <v>210</v>
      </c>
      <c r="C23" s="26" t="s">
        <v>211</v>
      </c>
      <c r="D23" s="27" t="s">
        <v>212</v>
      </c>
      <c r="E23" s="29" t="s">
        <v>213</v>
      </c>
      <c r="F23" s="76" t="s">
        <v>186</v>
      </c>
      <c r="G23" s="26" t="s">
        <v>209</v>
      </c>
      <c r="H23" s="26" t="s">
        <v>194</v>
      </c>
    </row>
    <row r="24" customFormat="false" ht="15.75" hidden="false" customHeight="true" outlineLevel="0" collapsed="false">
      <c r="A24" s="11" t="n">
        <v>7</v>
      </c>
      <c r="B24" s="75" t="s">
        <v>214</v>
      </c>
      <c r="C24" s="11" t="s">
        <v>215</v>
      </c>
      <c r="D24" s="12" t="s">
        <v>216</v>
      </c>
      <c r="E24" s="14" t="s">
        <v>217</v>
      </c>
      <c r="F24" s="76" t="s">
        <v>186</v>
      </c>
      <c r="G24" s="11" t="s">
        <v>187</v>
      </c>
      <c r="H24" s="11" t="s">
        <v>188</v>
      </c>
    </row>
    <row r="25" customFormat="false" ht="15.75" hidden="false" customHeight="true" outlineLevel="0" collapsed="false">
      <c r="A25" s="26" t="n">
        <v>8</v>
      </c>
      <c r="B25" s="77" t="s">
        <v>218</v>
      </c>
      <c r="C25" s="26" t="s">
        <v>219</v>
      </c>
      <c r="D25" s="27" t="s">
        <v>220</v>
      </c>
      <c r="E25" s="29" t="s">
        <v>221</v>
      </c>
      <c r="F25" s="76" t="s">
        <v>186</v>
      </c>
      <c r="G25" s="26" t="s">
        <v>222</v>
      </c>
      <c r="H25" s="26" t="s">
        <v>194</v>
      </c>
    </row>
    <row r="26" customFormat="false" ht="15.75" hidden="false" customHeight="true" outlineLevel="0" collapsed="false">
      <c r="A26" s="11" t="n">
        <v>9</v>
      </c>
      <c r="B26" s="75" t="s">
        <v>223</v>
      </c>
      <c r="C26" s="11" t="s">
        <v>224</v>
      </c>
      <c r="D26" s="12" t="s">
        <v>225</v>
      </c>
      <c r="E26" s="14" t="s">
        <v>226</v>
      </c>
      <c r="F26" s="76" t="s">
        <v>186</v>
      </c>
      <c r="G26" s="11" t="s">
        <v>227</v>
      </c>
      <c r="H26" s="11" t="s">
        <v>205</v>
      </c>
    </row>
    <row r="27" customFormat="false" ht="15.75" hidden="false" customHeight="true" outlineLevel="0" collapsed="false">
      <c r="A27" s="26" t="n">
        <v>10</v>
      </c>
      <c r="B27" s="77" t="s">
        <v>228</v>
      </c>
      <c r="C27" s="26" t="s">
        <v>229</v>
      </c>
      <c r="D27" s="27" t="s">
        <v>230</v>
      </c>
      <c r="E27" s="29" t="s">
        <v>231</v>
      </c>
      <c r="F27" s="76" t="s">
        <v>186</v>
      </c>
      <c r="G27" s="26" t="s">
        <v>232</v>
      </c>
      <c r="H27" s="26" t="s">
        <v>194</v>
      </c>
    </row>
    <row r="28" customFormat="false" ht="15.75" hidden="false" customHeight="true" outlineLevel="0" collapsed="false">
      <c r="A28" s="11" t="n">
        <v>11</v>
      </c>
      <c r="B28" s="75" t="s">
        <v>233</v>
      </c>
      <c r="C28" s="11" t="s">
        <v>234</v>
      </c>
      <c r="D28" s="12" t="s">
        <v>235</v>
      </c>
      <c r="E28" s="14" t="s">
        <v>236</v>
      </c>
      <c r="F28" s="76" t="s">
        <v>186</v>
      </c>
      <c r="G28" s="11" t="s">
        <v>187</v>
      </c>
      <c r="H28" s="11" t="s">
        <v>188</v>
      </c>
    </row>
    <row r="29" customFormat="false" ht="15.75" hidden="false" customHeight="true" outlineLevel="0" collapsed="false">
      <c r="A29" s="26" t="n">
        <v>12</v>
      </c>
      <c r="B29" s="77" t="s">
        <v>237</v>
      </c>
      <c r="C29" s="26" t="s">
        <v>238</v>
      </c>
      <c r="D29" s="27" t="s">
        <v>239</v>
      </c>
      <c r="E29" s="29" t="s">
        <v>188</v>
      </c>
      <c r="F29" s="79" t="s">
        <v>240</v>
      </c>
      <c r="G29" s="26" t="s">
        <v>241</v>
      </c>
      <c r="H29" s="26" t="s">
        <v>242</v>
      </c>
    </row>
  </sheetData>
  <mergeCells count="3">
    <mergeCell ref="A1:L1"/>
    <mergeCell ref="A3:L3"/>
    <mergeCell ref="A16:L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24"/>
    <col collapsed="false" customWidth="true" hidden="false" outlineLevel="0" max="7" min="5" style="0" width="10"/>
    <col collapsed="false" customWidth="true" hidden="false" outlineLevel="0" max="10" min="8" style="0" width="12"/>
    <col collapsed="false" customWidth="true" hidden="false" outlineLevel="0" max="11" min="11" style="0" width="14"/>
    <col collapsed="false" customWidth="true" hidden="false" outlineLevel="0" max="12" min="12" style="0" width="10"/>
    <col collapsed="false" customWidth="true" hidden="false" outlineLevel="0" max="13" min="13" style="0" width="12"/>
    <col collapsed="false" customWidth="true" hidden="false" outlineLevel="0" max="14" min="14" style="0" width="14"/>
    <col collapsed="false" customWidth="true" hidden="false" outlineLevel="0" max="16" min="15" style="0" width="12"/>
  </cols>
  <sheetData>
    <row r="1" customFormat="false" ht="31.5" hidden="false" customHeight="true" outlineLevel="0" collapsed="false">
      <c r="A1" s="51" t="s">
        <v>243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</row>
    <row r="2" customFormat="false" ht="15.75" hidden="false" customHeight="true" outlineLevel="0" collapsed="false">
      <c r="A2" s="52" t="s">
        <v>244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</row>
    <row r="3" customFormat="false" ht="7.5" hidden="false" customHeight="true" outlineLevel="0" collapsed="false"/>
    <row r="4" customFormat="false" ht="27.75" hidden="false" customHeight="true" outlineLevel="0" collapsed="false">
      <c r="A4" s="10" t="s">
        <v>245</v>
      </c>
      <c r="B4" s="10" t="s">
        <v>246</v>
      </c>
      <c r="C4" s="10" t="s">
        <v>247</v>
      </c>
      <c r="D4" s="10" t="s">
        <v>248</v>
      </c>
      <c r="E4" s="10" t="s">
        <v>14</v>
      </c>
      <c r="F4" s="10" t="s">
        <v>249</v>
      </c>
      <c r="G4" s="10" t="s">
        <v>250</v>
      </c>
      <c r="H4" s="10" t="s">
        <v>251</v>
      </c>
      <c r="I4" s="10" t="s">
        <v>252</v>
      </c>
      <c r="J4" s="10" t="s">
        <v>253</v>
      </c>
      <c r="K4" s="10" t="s">
        <v>254</v>
      </c>
      <c r="L4" s="10" t="s">
        <v>255</v>
      </c>
      <c r="M4" s="10" t="s">
        <v>256</v>
      </c>
      <c r="N4" s="10" t="s">
        <v>257</v>
      </c>
      <c r="O4" s="10" t="s">
        <v>179</v>
      </c>
      <c r="P4" s="10" t="s">
        <v>258</v>
      </c>
    </row>
    <row r="5" customFormat="false" ht="15" hidden="false" customHeight="true" outlineLevel="0" collapsed="false">
      <c r="A5" s="55" t="s">
        <v>259</v>
      </c>
      <c r="B5" s="11" t="s">
        <v>260</v>
      </c>
      <c r="C5" s="11" t="s">
        <v>261</v>
      </c>
      <c r="D5" s="12" t="s">
        <v>262</v>
      </c>
      <c r="E5" s="55" t="s">
        <v>263</v>
      </c>
      <c r="F5" s="76" t="s">
        <v>264</v>
      </c>
      <c r="G5" s="14" t="s">
        <v>176</v>
      </c>
      <c r="H5" s="18" t="n">
        <v>25000</v>
      </c>
      <c r="I5" s="16" t="n">
        <v>418.95</v>
      </c>
      <c r="J5" s="17" t="n">
        <v>419.61</v>
      </c>
      <c r="K5" s="80" t="n">
        <v>10.49</v>
      </c>
      <c r="L5" s="81" t="n">
        <v>0.0052</v>
      </c>
      <c r="M5" s="82" t="n">
        <v>1.2</v>
      </c>
      <c r="N5" s="83" t="n">
        <v>0.638</v>
      </c>
      <c r="O5" s="76" t="s">
        <v>265</v>
      </c>
      <c r="P5" s="12" t="s">
        <v>266</v>
      </c>
    </row>
    <row r="6" customFormat="false" ht="15" hidden="false" customHeight="true" outlineLevel="0" collapsed="false">
      <c r="A6" s="61" t="s">
        <v>267</v>
      </c>
      <c r="B6" s="26" t="s">
        <v>268</v>
      </c>
      <c r="C6" s="26" t="s">
        <v>269</v>
      </c>
      <c r="D6" s="27" t="s">
        <v>270</v>
      </c>
      <c r="E6" s="61" t="s">
        <v>90</v>
      </c>
      <c r="F6" s="76" t="s">
        <v>264</v>
      </c>
      <c r="G6" s="29" t="s">
        <v>271</v>
      </c>
      <c r="H6" s="33" t="n">
        <v>200000</v>
      </c>
      <c r="I6" s="31" t="n">
        <v>493.28</v>
      </c>
      <c r="J6" s="32" t="n">
        <v>492.31</v>
      </c>
      <c r="K6" s="84" t="n">
        <v>98.46</v>
      </c>
      <c r="L6" s="85" t="n">
        <v>0.0492</v>
      </c>
      <c r="M6" s="86" t="n">
        <v>6.5</v>
      </c>
      <c r="N6" s="87" t="n">
        <v>2.627</v>
      </c>
      <c r="O6" s="76" t="s">
        <v>265</v>
      </c>
      <c r="P6" s="27" t="s">
        <v>266</v>
      </c>
    </row>
    <row r="7" customFormat="false" ht="15" hidden="false" customHeight="true" outlineLevel="0" collapsed="false">
      <c r="A7" s="55" t="s">
        <v>272</v>
      </c>
      <c r="B7" s="11" t="s">
        <v>273</v>
      </c>
      <c r="C7" s="11" t="s">
        <v>274</v>
      </c>
      <c r="D7" s="12" t="s">
        <v>52</v>
      </c>
      <c r="E7" s="55" t="s">
        <v>275</v>
      </c>
      <c r="F7" s="76" t="s">
        <v>264</v>
      </c>
      <c r="G7" s="14" t="s">
        <v>276</v>
      </c>
      <c r="H7" s="18" t="n">
        <v>5</v>
      </c>
      <c r="I7" s="16" t="n">
        <v>378.09</v>
      </c>
      <c r="J7" s="17" t="n">
        <v>378.55</v>
      </c>
      <c r="K7" s="80" t="n">
        <v>0</v>
      </c>
      <c r="L7" s="81" t="n">
        <v>0</v>
      </c>
      <c r="M7" s="82" t="n">
        <v>6</v>
      </c>
      <c r="N7" s="83" t="n">
        <v>1.461</v>
      </c>
      <c r="O7" s="88" t="s">
        <v>277</v>
      </c>
      <c r="P7" s="12" t="s">
        <v>278</v>
      </c>
    </row>
    <row r="8" customFormat="false" ht="15" hidden="false" customHeight="true" outlineLevel="0" collapsed="false">
      <c r="A8" s="61" t="s">
        <v>279</v>
      </c>
      <c r="B8" s="26" t="s">
        <v>280</v>
      </c>
      <c r="C8" s="26" t="s">
        <v>281</v>
      </c>
      <c r="D8" s="27" t="s">
        <v>282</v>
      </c>
      <c r="E8" s="61" t="s">
        <v>283</v>
      </c>
      <c r="F8" s="79" t="s">
        <v>284</v>
      </c>
      <c r="G8" s="29" t="s">
        <v>176</v>
      </c>
      <c r="H8" s="33" t="n">
        <v>25000</v>
      </c>
      <c r="I8" s="31" t="n">
        <v>65.66</v>
      </c>
      <c r="J8" s="32" t="n">
        <v>65.59</v>
      </c>
      <c r="K8" s="84" t="n">
        <v>1.64</v>
      </c>
      <c r="L8" s="85" t="n">
        <v>0.0008</v>
      </c>
      <c r="M8" s="86" t="n">
        <v>2.7</v>
      </c>
      <c r="N8" s="89" t="n">
        <v>-1.825</v>
      </c>
      <c r="O8" s="76" t="s">
        <v>265</v>
      </c>
      <c r="P8" s="27" t="s">
        <v>285</v>
      </c>
    </row>
    <row r="9" customFormat="false" ht="15" hidden="false" customHeight="true" outlineLevel="0" collapsed="false">
      <c r="A9" s="55" t="s">
        <v>286</v>
      </c>
      <c r="B9" s="11" t="s">
        <v>287</v>
      </c>
      <c r="C9" s="11" t="s">
        <v>288</v>
      </c>
      <c r="D9" s="12" t="s">
        <v>65</v>
      </c>
      <c r="E9" s="55" t="s">
        <v>263</v>
      </c>
      <c r="F9" s="76" t="s">
        <v>264</v>
      </c>
      <c r="G9" s="14" t="s">
        <v>176</v>
      </c>
      <c r="H9" s="18" t="n">
        <v>100000</v>
      </c>
      <c r="I9" s="16" t="n">
        <v>415.3</v>
      </c>
      <c r="J9" s="17" t="n">
        <v>415.64</v>
      </c>
      <c r="K9" s="80" t="n">
        <v>41.56</v>
      </c>
      <c r="L9" s="81" t="n">
        <v>0.0208</v>
      </c>
      <c r="M9" s="82" t="n">
        <v>5.6</v>
      </c>
      <c r="N9" s="90" t="n">
        <v>-1.886</v>
      </c>
      <c r="O9" s="76" t="s">
        <v>265</v>
      </c>
      <c r="P9" s="12" t="s">
        <v>289</v>
      </c>
    </row>
    <row r="10" customFormat="false" ht="15" hidden="false" customHeight="true" outlineLevel="0" collapsed="false">
      <c r="A10" s="61" t="s">
        <v>290</v>
      </c>
      <c r="B10" s="26" t="s">
        <v>291</v>
      </c>
      <c r="C10" s="26" t="s">
        <v>292</v>
      </c>
      <c r="D10" s="27" t="s">
        <v>52</v>
      </c>
      <c r="E10" s="61" t="s">
        <v>283</v>
      </c>
      <c r="F10" s="79" t="s">
        <v>284</v>
      </c>
      <c r="G10" s="29" t="s">
        <v>293</v>
      </c>
      <c r="H10" s="33" t="n">
        <v>100</v>
      </c>
      <c r="I10" s="31" t="n">
        <v>162.98</v>
      </c>
      <c r="J10" s="32" t="n">
        <v>162.87</v>
      </c>
      <c r="K10" s="84" t="n">
        <v>0.02</v>
      </c>
      <c r="L10" s="85" t="n">
        <v>0</v>
      </c>
      <c r="M10" s="86" t="n">
        <v>6.3</v>
      </c>
      <c r="N10" s="89" t="n">
        <v>-1.997</v>
      </c>
      <c r="O10" s="76" t="s">
        <v>265</v>
      </c>
      <c r="P10" s="27" t="s">
        <v>266</v>
      </c>
    </row>
    <row r="11" customFormat="false" ht="15" hidden="false" customHeight="true" outlineLevel="0" collapsed="false">
      <c r="A11" s="55" t="s">
        <v>294</v>
      </c>
      <c r="B11" s="11" t="s">
        <v>295</v>
      </c>
      <c r="C11" s="11" t="s">
        <v>296</v>
      </c>
      <c r="D11" s="12" t="s">
        <v>297</v>
      </c>
      <c r="E11" s="55" t="s">
        <v>85</v>
      </c>
      <c r="F11" s="79" t="s">
        <v>284</v>
      </c>
      <c r="G11" s="14" t="s">
        <v>176</v>
      </c>
      <c r="H11" s="18" t="n">
        <v>100000</v>
      </c>
      <c r="I11" s="16" t="n">
        <v>407.05</v>
      </c>
      <c r="J11" s="17" t="n">
        <v>406.88</v>
      </c>
      <c r="K11" s="80" t="n">
        <v>40.69</v>
      </c>
      <c r="L11" s="81" t="n">
        <v>0.0203</v>
      </c>
      <c r="M11" s="82" t="n">
        <v>7.4</v>
      </c>
      <c r="N11" s="83" t="n">
        <v>0.904</v>
      </c>
      <c r="O11" s="76" t="s">
        <v>265</v>
      </c>
      <c r="P11" s="12" t="s">
        <v>266</v>
      </c>
    </row>
    <row r="12" customFormat="false" ht="15" hidden="false" customHeight="true" outlineLevel="0" collapsed="false">
      <c r="A12" s="61" t="s">
        <v>298</v>
      </c>
      <c r="B12" s="26" t="s">
        <v>291</v>
      </c>
      <c r="C12" s="26" t="s">
        <v>299</v>
      </c>
      <c r="D12" s="27" t="s">
        <v>300</v>
      </c>
      <c r="E12" s="61" t="s">
        <v>85</v>
      </c>
      <c r="F12" s="76" t="s">
        <v>264</v>
      </c>
      <c r="G12" s="29" t="s">
        <v>176</v>
      </c>
      <c r="H12" s="33" t="n">
        <v>100000</v>
      </c>
      <c r="I12" s="31" t="n">
        <v>598.5</v>
      </c>
      <c r="J12" s="32" t="n">
        <v>597.63</v>
      </c>
      <c r="K12" s="84" t="n">
        <v>59.76</v>
      </c>
      <c r="L12" s="85" t="n">
        <v>0.0299</v>
      </c>
      <c r="M12" s="86" t="n">
        <v>4.2</v>
      </c>
      <c r="N12" s="87" t="n">
        <v>3.042</v>
      </c>
      <c r="O12" s="76" t="s">
        <v>265</v>
      </c>
      <c r="P12" s="27" t="s">
        <v>266</v>
      </c>
    </row>
    <row r="13" customFormat="false" ht="15" hidden="false" customHeight="true" outlineLevel="0" collapsed="false">
      <c r="A13" s="55" t="s">
        <v>301</v>
      </c>
      <c r="B13" s="11" t="s">
        <v>260</v>
      </c>
      <c r="C13" s="11" t="s">
        <v>302</v>
      </c>
      <c r="D13" s="12" t="s">
        <v>300</v>
      </c>
      <c r="E13" s="55" t="s">
        <v>85</v>
      </c>
      <c r="F13" s="76" t="s">
        <v>264</v>
      </c>
      <c r="G13" s="14" t="s">
        <v>271</v>
      </c>
      <c r="H13" s="18" t="n">
        <v>10</v>
      </c>
      <c r="I13" s="16" t="n">
        <v>373.7</v>
      </c>
      <c r="J13" s="17" t="n">
        <v>373.65</v>
      </c>
      <c r="K13" s="80" t="n">
        <v>0</v>
      </c>
      <c r="L13" s="81" t="n">
        <v>0</v>
      </c>
      <c r="M13" s="82" t="n">
        <v>2.4</v>
      </c>
      <c r="N13" s="83" t="n">
        <v>1.583</v>
      </c>
      <c r="O13" s="78" t="s">
        <v>303</v>
      </c>
      <c r="P13" s="12" t="s">
        <v>285</v>
      </c>
    </row>
    <row r="14" customFormat="false" ht="15" hidden="false" customHeight="true" outlineLevel="0" collapsed="false">
      <c r="A14" s="61" t="s">
        <v>304</v>
      </c>
      <c r="B14" s="26" t="s">
        <v>291</v>
      </c>
      <c r="C14" s="26" t="s">
        <v>305</v>
      </c>
      <c r="D14" s="27" t="s">
        <v>270</v>
      </c>
      <c r="E14" s="61" t="s">
        <v>283</v>
      </c>
      <c r="F14" s="79" t="s">
        <v>284</v>
      </c>
      <c r="G14" s="29" t="s">
        <v>176</v>
      </c>
      <c r="H14" s="33" t="n">
        <v>25000</v>
      </c>
      <c r="I14" s="31" t="n">
        <v>204.36</v>
      </c>
      <c r="J14" s="32" t="n">
        <v>204.08</v>
      </c>
      <c r="K14" s="84" t="n">
        <v>5.1</v>
      </c>
      <c r="L14" s="85" t="n">
        <v>0.0025</v>
      </c>
      <c r="M14" s="86" t="n">
        <v>0.5</v>
      </c>
      <c r="N14" s="87" t="n">
        <v>2.799</v>
      </c>
      <c r="O14" s="76" t="s">
        <v>265</v>
      </c>
      <c r="P14" s="27" t="s">
        <v>289</v>
      </c>
    </row>
    <row r="15" customFormat="false" ht="15" hidden="false" customHeight="true" outlineLevel="0" collapsed="false">
      <c r="A15" s="55" t="s">
        <v>306</v>
      </c>
      <c r="B15" s="11" t="s">
        <v>307</v>
      </c>
      <c r="C15" s="11" t="s">
        <v>308</v>
      </c>
      <c r="D15" s="12" t="s">
        <v>45</v>
      </c>
      <c r="E15" s="55" t="s">
        <v>283</v>
      </c>
      <c r="F15" s="79" t="s">
        <v>284</v>
      </c>
      <c r="G15" s="14" t="s">
        <v>309</v>
      </c>
      <c r="H15" s="18" t="n">
        <v>100000</v>
      </c>
      <c r="I15" s="16" t="n">
        <v>125.59</v>
      </c>
      <c r="J15" s="17" t="n">
        <v>125.72</v>
      </c>
      <c r="K15" s="80" t="n">
        <v>12.57</v>
      </c>
      <c r="L15" s="81" t="n">
        <v>0.0063</v>
      </c>
      <c r="M15" s="82" t="n">
        <v>4.5</v>
      </c>
      <c r="N15" s="83" t="n">
        <v>3.206</v>
      </c>
      <c r="O15" s="76" t="s">
        <v>265</v>
      </c>
      <c r="P15" s="12" t="s">
        <v>285</v>
      </c>
    </row>
    <row r="16" customFormat="false" ht="15" hidden="false" customHeight="true" outlineLevel="0" collapsed="false">
      <c r="A16" s="61" t="s">
        <v>310</v>
      </c>
      <c r="B16" s="26" t="s">
        <v>311</v>
      </c>
      <c r="C16" s="26" t="s">
        <v>312</v>
      </c>
      <c r="D16" s="27" t="s">
        <v>45</v>
      </c>
      <c r="E16" s="61" t="s">
        <v>283</v>
      </c>
      <c r="F16" s="76" t="s">
        <v>264</v>
      </c>
      <c r="G16" s="29" t="s">
        <v>176</v>
      </c>
      <c r="H16" s="33" t="n">
        <v>10000</v>
      </c>
      <c r="I16" s="31" t="n">
        <v>174.89</v>
      </c>
      <c r="J16" s="32" t="n">
        <v>174.94</v>
      </c>
      <c r="K16" s="84" t="n">
        <v>1.75</v>
      </c>
      <c r="L16" s="85" t="n">
        <v>0.0009</v>
      </c>
      <c r="M16" s="86" t="n">
        <v>1.1</v>
      </c>
      <c r="N16" s="87" t="n">
        <v>2.87</v>
      </c>
      <c r="O16" s="76" t="s">
        <v>265</v>
      </c>
      <c r="P16" s="27" t="s">
        <v>266</v>
      </c>
    </row>
    <row r="17" customFormat="false" ht="15" hidden="false" customHeight="true" outlineLevel="0" collapsed="false">
      <c r="A17" s="55" t="s">
        <v>313</v>
      </c>
      <c r="B17" s="11" t="s">
        <v>314</v>
      </c>
      <c r="C17" s="11" t="s">
        <v>315</v>
      </c>
      <c r="D17" s="12" t="s">
        <v>316</v>
      </c>
      <c r="E17" s="55" t="s">
        <v>85</v>
      </c>
      <c r="F17" s="76" t="s">
        <v>264</v>
      </c>
      <c r="G17" s="14" t="s">
        <v>176</v>
      </c>
      <c r="H17" s="18" t="n">
        <v>100</v>
      </c>
      <c r="I17" s="16" t="n">
        <v>528.56</v>
      </c>
      <c r="J17" s="17" t="n">
        <v>528.4</v>
      </c>
      <c r="K17" s="80" t="n">
        <v>0.05</v>
      </c>
      <c r="L17" s="81" t="n">
        <v>0</v>
      </c>
      <c r="M17" s="82" t="n">
        <v>2.1</v>
      </c>
      <c r="N17" s="83" t="n">
        <v>1.483</v>
      </c>
      <c r="O17" s="76" t="s">
        <v>265</v>
      </c>
      <c r="P17" s="12" t="s">
        <v>266</v>
      </c>
    </row>
    <row r="18" customFormat="false" ht="15" hidden="false" customHeight="true" outlineLevel="0" collapsed="false">
      <c r="A18" s="61" t="s">
        <v>317</v>
      </c>
      <c r="B18" s="26" t="s">
        <v>318</v>
      </c>
      <c r="C18" s="26" t="s">
        <v>319</v>
      </c>
      <c r="D18" s="27" t="s">
        <v>65</v>
      </c>
      <c r="E18" s="61" t="s">
        <v>90</v>
      </c>
      <c r="F18" s="79" t="s">
        <v>284</v>
      </c>
      <c r="G18" s="29" t="s">
        <v>271</v>
      </c>
      <c r="H18" s="33" t="n">
        <v>25000</v>
      </c>
      <c r="I18" s="31" t="n">
        <v>178.83</v>
      </c>
      <c r="J18" s="32" t="n">
        <v>178.52</v>
      </c>
      <c r="K18" s="84" t="n">
        <v>4.46</v>
      </c>
      <c r="L18" s="85" t="n">
        <v>0.0022</v>
      </c>
      <c r="M18" s="86" t="n">
        <v>0.7</v>
      </c>
      <c r="N18" s="87" t="n">
        <v>1.588</v>
      </c>
      <c r="O18" s="76" t="s">
        <v>265</v>
      </c>
      <c r="P18" s="27" t="s">
        <v>285</v>
      </c>
    </row>
    <row r="19" customFormat="false" ht="15" hidden="false" customHeight="true" outlineLevel="0" collapsed="false">
      <c r="A19" s="55" t="s">
        <v>320</v>
      </c>
      <c r="B19" s="11" t="s">
        <v>280</v>
      </c>
      <c r="C19" s="11" t="s">
        <v>321</v>
      </c>
      <c r="D19" s="12" t="s">
        <v>42</v>
      </c>
      <c r="E19" s="55" t="s">
        <v>283</v>
      </c>
      <c r="F19" s="76" t="s">
        <v>264</v>
      </c>
      <c r="G19" s="14" t="s">
        <v>309</v>
      </c>
      <c r="H19" s="18" t="n">
        <v>100000</v>
      </c>
      <c r="I19" s="16" t="n">
        <v>195.95</v>
      </c>
      <c r="J19" s="17" t="n">
        <v>195.94</v>
      </c>
      <c r="K19" s="80" t="n">
        <v>19.59</v>
      </c>
      <c r="L19" s="81" t="n">
        <v>0.0098</v>
      </c>
      <c r="M19" s="82" t="n">
        <v>4.5</v>
      </c>
      <c r="N19" s="83" t="n">
        <v>2.808</v>
      </c>
      <c r="O19" s="76" t="s">
        <v>265</v>
      </c>
      <c r="P19" s="12" t="s">
        <v>289</v>
      </c>
    </row>
    <row r="20" customFormat="false" ht="15" hidden="false" customHeight="true" outlineLevel="0" collapsed="false">
      <c r="A20" s="61" t="s">
        <v>322</v>
      </c>
      <c r="B20" s="26" t="s">
        <v>323</v>
      </c>
      <c r="C20" s="26" t="s">
        <v>324</v>
      </c>
      <c r="D20" s="27" t="s">
        <v>300</v>
      </c>
      <c r="E20" s="61" t="s">
        <v>263</v>
      </c>
      <c r="F20" s="76" t="s">
        <v>264</v>
      </c>
      <c r="G20" s="29" t="s">
        <v>325</v>
      </c>
      <c r="H20" s="33" t="n">
        <v>10</v>
      </c>
      <c r="I20" s="31" t="n">
        <v>238.41</v>
      </c>
      <c r="J20" s="32" t="n">
        <v>238.33</v>
      </c>
      <c r="K20" s="84" t="n">
        <v>0</v>
      </c>
      <c r="L20" s="85" t="n">
        <v>0</v>
      </c>
      <c r="M20" s="86" t="n">
        <v>7</v>
      </c>
      <c r="N20" s="89" t="n">
        <v>-2.01</v>
      </c>
      <c r="O20" s="76" t="s">
        <v>265</v>
      </c>
      <c r="P20" s="27" t="s">
        <v>285</v>
      </c>
    </row>
    <row r="21" customFormat="false" ht="15" hidden="false" customHeight="true" outlineLevel="0" collapsed="false">
      <c r="A21" s="55" t="s">
        <v>326</v>
      </c>
      <c r="B21" s="11" t="s">
        <v>327</v>
      </c>
      <c r="C21" s="11" t="s">
        <v>328</v>
      </c>
      <c r="D21" s="12" t="s">
        <v>58</v>
      </c>
      <c r="E21" s="55" t="s">
        <v>275</v>
      </c>
      <c r="F21" s="76" t="s">
        <v>264</v>
      </c>
      <c r="G21" s="14" t="s">
        <v>176</v>
      </c>
      <c r="H21" s="18" t="n">
        <v>100000</v>
      </c>
      <c r="I21" s="16" t="n">
        <v>340.32</v>
      </c>
      <c r="J21" s="17" t="n">
        <v>339.83</v>
      </c>
      <c r="K21" s="80" t="n">
        <v>33.98</v>
      </c>
      <c r="L21" s="81" t="n">
        <v>0.017</v>
      </c>
      <c r="M21" s="82" t="n">
        <v>1.9</v>
      </c>
      <c r="N21" s="83" t="n">
        <v>0.931</v>
      </c>
      <c r="O21" s="76" t="s">
        <v>265</v>
      </c>
      <c r="P21" s="12" t="s">
        <v>285</v>
      </c>
    </row>
    <row r="22" customFormat="false" ht="15" hidden="false" customHeight="true" outlineLevel="0" collapsed="false">
      <c r="A22" s="61" t="s">
        <v>329</v>
      </c>
      <c r="B22" s="26" t="s">
        <v>330</v>
      </c>
      <c r="C22" s="26" t="s">
        <v>331</v>
      </c>
      <c r="D22" s="27" t="s">
        <v>270</v>
      </c>
      <c r="E22" s="61" t="s">
        <v>275</v>
      </c>
      <c r="F22" s="76" t="s">
        <v>264</v>
      </c>
      <c r="G22" s="29" t="s">
        <v>276</v>
      </c>
      <c r="H22" s="33" t="n">
        <v>100000</v>
      </c>
      <c r="I22" s="31" t="n">
        <v>133.13</v>
      </c>
      <c r="J22" s="32" t="n">
        <v>133.12</v>
      </c>
      <c r="K22" s="84" t="n">
        <v>13.31</v>
      </c>
      <c r="L22" s="85" t="n">
        <v>0.0067</v>
      </c>
      <c r="M22" s="86" t="n">
        <v>2.1</v>
      </c>
      <c r="N22" s="87" t="n">
        <v>0.487</v>
      </c>
      <c r="O22" s="76" t="s">
        <v>265</v>
      </c>
      <c r="P22" s="27" t="s">
        <v>278</v>
      </c>
    </row>
    <row r="23" customFormat="false" ht="15" hidden="false" customHeight="true" outlineLevel="0" collapsed="false">
      <c r="A23" s="55" t="s">
        <v>332</v>
      </c>
      <c r="B23" s="11" t="s">
        <v>333</v>
      </c>
      <c r="C23" s="11" t="s">
        <v>334</v>
      </c>
      <c r="D23" s="12" t="s">
        <v>93</v>
      </c>
      <c r="E23" s="55" t="s">
        <v>283</v>
      </c>
      <c r="F23" s="76" t="s">
        <v>264</v>
      </c>
      <c r="G23" s="14" t="s">
        <v>293</v>
      </c>
      <c r="H23" s="18" t="n">
        <v>100</v>
      </c>
      <c r="I23" s="16" t="n">
        <v>410.65</v>
      </c>
      <c r="J23" s="17" t="n">
        <v>410.63</v>
      </c>
      <c r="K23" s="80" t="n">
        <v>0.04</v>
      </c>
      <c r="L23" s="81" t="n">
        <v>0</v>
      </c>
      <c r="M23" s="82" t="n">
        <v>1.9</v>
      </c>
      <c r="N23" s="90" t="n">
        <v>-0.833</v>
      </c>
      <c r="O23" s="76" t="s">
        <v>265</v>
      </c>
      <c r="P23" s="12" t="s">
        <v>285</v>
      </c>
    </row>
    <row r="24" customFormat="false" ht="15" hidden="false" customHeight="true" outlineLevel="0" collapsed="false">
      <c r="A24" s="61" t="s">
        <v>335</v>
      </c>
      <c r="B24" s="26" t="s">
        <v>314</v>
      </c>
      <c r="C24" s="26" t="s">
        <v>336</v>
      </c>
      <c r="D24" s="27" t="s">
        <v>42</v>
      </c>
      <c r="E24" s="61" t="s">
        <v>275</v>
      </c>
      <c r="F24" s="79" t="s">
        <v>284</v>
      </c>
      <c r="G24" s="29" t="s">
        <v>271</v>
      </c>
      <c r="H24" s="33" t="n">
        <v>100</v>
      </c>
      <c r="I24" s="31" t="n">
        <v>554.86</v>
      </c>
      <c r="J24" s="32" t="n">
        <v>554.93</v>
      </c>
      <c r="K24" s="84" t="n">
        <v>0.06</v>
      </c>
      <c r="L24" s="85" t="n">
        <v>0</v>
      </c>
      <c r="M24" s="86" t="n">
        <v>0.9</v>
      </c>
      <c r="N24" s="87" t="n">
        <v>1.256</v>
      </c>
      <c r="O24" s="76" t="s">
        <v>265</v>
      </c>
      <c r="P24" s="27" t="s">
        <v>285</v>
      </c>
    </row>
    <row r="25" customFormat="false" ht="15" hidden="false" customHeight="true" outlineLevel="0" collapsed="false">
      <c r="A25" s="55" t="s">
        <v>337</v>
      </c>
      <c r="B25" s="11" t="s">
        <v>311</v>
      </c>
      <c r="C25" s="11" t="s">
        <v>338</v>
      </c>
      <c r="D25" s="12" t="s">
        <v>67</v>
      </c>
      <c r="E25" s="55" t="s">
        <v>90</v>
      </c>
      <c r="F25" s="76" t="s">
        <v>264</v>
      </c>
      <c r="G25" s="14" t="s">
        <v>309</v>
      </c>
      <c r="H25" s="18" t="n">
        <v>100000</v>
      </c>
      <c r="I25" s="16" t="n">
        <v>364.19</v>
      </c>
      <c r="J25" s="17" t="n">
        <v>363.52</v>
      </c>
      <c r="K25" s="80" t="n">
        <v>36.35</v>
      </c>
      <c r="L25" s="81" t="n">
        <v>0.0182</v>
      </c>
      <c r="M25" s="82" t="n">
        <v>1.1</v>
      </c>
      <c r="N25" s="83" t="n">
        <v>2.333</v>
      </c>
      <c r="O25" s="76" t="s">
        <v>265</v>
      </c>
      <c r="P25" s="12" t="s">
        <v>339</v>
      </c>
    </row>
    <row r="26" customFormat="false" ht="15" hidden="false" customHeight="true" outlineLevel="0" collapsed="false">
      <c r="A26" s="61" t="s">
        <v>340</v>
      </c>
      <c r="B26" s="26" t="s">
        <v>341</v>
      </c>
      <c r="C26" s="26" t="s">
        <v>342</v>
      </c>
      <c r="D26" s="27" t="s">
        <v>58</v>
      </c>
      <c r="E26" s="61" t="s">
        <v>263</v>
      </c>
      <c r="F26" s="76" t="s">
        <v>264</v>
      </c>
      <c r="G26" s="29" t="s">
        <v>271</v>
      </c>
      <c r="H26" s="33" t="n">
        <v>50000</v>
      </c>
      <c r="I26" s="31" t="n">
        <v>416.15</v>
      </c>
      <c r="J26" s="32" t="n">
        <v>415.82</v>
      </c>
      <c r="K26" s="84" t="n">
        <v>20.79</v>
      </c>
      <c r="L26" s="85" t="n">
        <v>0.0104</v>
      </c>
      <c r="M26" s="86" t="n">
        <v>2.9</v>
      </c>
      <c r="N26" s="87" t="n">
        <v>3.013</v>
      </c>
      <c r="O26" s="76" t="s">
        <v>265</v>
      </c>
      <c r="P26" s="27" t="s">
        <v>278</v>
      </c>
    </row>
    <row r="27" customFormat="false" ht="15" hidden="false" customHeight="true" outlineLevel="0" collapsed="false">
      <c r="A27" s="55" t="s">
        <v>343</v>
      </c>
      <c r="B27" s="11" t="s">
        <v>311</v>
      </c>
      <c r="C27" s="11" t="s">
        <v>344</v>
      </c>
      <c r="D27" s="12" t="s">
        <v>297</v>
      </c>
      <c r="E27" s="55" t="s">
        <v>85</v>
      </c>
      <c r="F27" s="76" t="s">
        <v>264</v>
      </c>
      <c r="G27" s="14" t="s">
        <v>176</v>
      </c>
      <c r="H27" s="18" t="n">
        <v>5</v>
      </c>
      <c r="I27" s="16" t="n">
        <v>533.28</v>
      </c>
      <c r="J27" s="17" t="n">
        <v>534.09</v>
      </c>
      <c r="K27" s="80" t="n">
        <v>0</v>
      </c>
      <c r="L27" s="81" t="n">
        <v>0</v>
      </c>
      <c r="M27" s="82" t="n">
        <v>3.3</v>
      </c>
      <c r="N27" s="90" t="n">
        <v>-1.264</v>
      </c>
      <c r="O27" s="76" t="s">
        <v>265</v>
      </c>
      <c r="P27" s="12" t="s">
        <v>285</v>
      </c>
    </row>
    <row r="28" customFormat="false" ht="15" hidden="false" customHeight="true" outlineLevel="0" collapsed="false">
      <c r="A28" s="61" t="s">
        <v>345</v>
      </c>
      <c r="B28" s="26" t="s">
        <v>346</v>
      </c>
      <c r="C28" s="26" t="s">
        <v>347</v>
      </c>
      <c r="D28" s="27" t="s">
        <v>270</v>
      </c>
      <c r="E28" s="61" t="s">
        <v>283</v>
      </c>
      <c r="F28" s="79" t="s">
        <v>284</v>
      </c>
      <c r="G28" s="29" t="s">
        <v>325</v>
      </c>
      <c r="H28" s="33" t="n">
        <v>50000</v>
      </c>
      <c r="I28" s="31" t="n">
        <v>188.1</v>
      </c>
      <c r="J28" s="32" t="n">
        <v>188.39</v>
      </c>
      <c r="K28" s="84" t="n">
        <v>9.42</v>
      </c>
      <c r="L28" s="85" t="n">
        <v>0.0047</v>
      </c>
      <c r="M28" s="86" t="n">
        <v>6.1</v>
      </c>
      <c r="N28" s="89" t="n">
        <v>-1.281</v>
      </c>
      <c r="O28" s="76" t="s">
        <v>265</v>
      </c>
      <c r="P28" s="27" t="s">
        <v>266</v>
      </c>
    </row>
    <row r="29" customFormat="false" ht="15" hidden="false" customHeight="true" outlineLevel="0" collapsed="false">
      <c r="A29" s="55" t="s">
        <v>348</v>
      </c>
      <c r="B29" s="11" t="s">
        <v>318</v>
      </c>
      <c r="C29" s="11" t="s">
        <v>349</v>
      </c>
      <c r="D29" s="12" t="s">
        <v>262</v>
      </c>
      <c r="E29" s="55" t="s">
        <v>85</v>
      </c>
      <c r="F29" s="76" t="s">
        <v>264</v>
      </c>
      <c r="G29" s="14" t="s">
        <v>176</v>
      </c>
      <c r="H29" s="18" t="n">
        <v>10000</v>
      </c>
      <c r="I29" s="16" t="n">
        <v>91.69</v>
      </c>
      <c r="J29" s="17" t="n">
        <v>91.66</v>
      </c>
      <c r="K29" s="80" t="n">
        <v>0.92</v>
      </c>
      <c r="L29" s="81" t="n">
        <v>0.0005</v>
      </c>
      <c r="M29" s="82" t="n">
        <v>2.6</v>
      </c>
      <c r="N29" s="90" t="n">
        <v>-2.374</v>
      </c>
      <c r="O29" s="76" t="s">
        <v>265</v>
      </c>
      <c r="P29" s="12" t="s">
        <v>285</v>
      </c>
    </row>
    <row r="30" customFormat="false" ht="15" hidden="false" customHeight="true" outlineLevel="0" collapsed="false">
      <c r="A30" s="61" t="s">
        <v>350</v>
      </c>
      <c r="B30" s="26" t="s">
        <v>351</v>
      </c>
      <c r="C30" s="26" t="s">
        <v>352</v>
      </c>
      <c r="D30" s="27" t="s">
        <v>270</v>
      </c>
      <c r="E30" s="61" t="s">
        <v>90</v>
      </c>
      <c r="F30" s="79" t="s">
        <v>284</v>
      </c>
      <c r="G30" s="29" t="s">
        <v>325</v>
      </c>
      <c r="H30" s="33" t="n">
        <v>25000</v>
      </c>
      <c r="I30" s="31" t="n">
        <v>82.14</v>
      </c>
      <c r="J30" s="32" t="n">
        <v>82.27</v>
      </c>
      <c r="K30" s="84" t="n">
        <v>2.06</v>
      </c>
      <c r="L30" s="85" t="n">
        <v>0.001</v>
      </c>
      <c r="M30" s="86" t="n">
        <v>7.3</v>
      </c>
      <c r="N30" s="87" t="n">
        <v>1.528</v>
      </c>
      <c r="O30" s="76" t="s">
        <v>265</v>
      </c>
      <c r="P30" s="27" t="s">
        <v>289</v>
      </c>
    </row>
    <row r="31" customFormat="false" ht="15" hidden="false" customHeight="true" outlineLevel="0" collapsed="false">
      <c r="A31" s="55" t="s">
        <v>353</v>
      </c>
      <c r="B31" s="11" t="s">
        <v>314</v>
      </c>
      <c r="C31" s="11" t="s">
        <v>354</v>
      </c>
      <c r="D31" s="12" t="s">
        <v>42</v>
      </c>
      <c r="E31" s="55" t="s">
        <v>283</v>
      </c>
      <c r="F31" s="76" t="s">
        <v>264</v>
      </c>
      <c r="G31" s="14" t="s">
        <v>276</v>
      </c>
      <c r="H31" s="18" t="n">
        <v>10000</v>
      </c>
      <c r="I31" s="16" t="n">
        <v>543.4</v>
      </c>
      <c r="J31" s="17" t="n">
        <v>542.77</v>
      </c>
      <c r="K31" s="80" t="n">
        <v>5.43</v>
      </c>
      <c r="L31" s="81" t="n">
        <v>0.0027</v>
      </c>
      <c r="M31" s="82" t="n">
        <v>2.4</v>
      </c>
      <c r="N31" s="90" t="n">
        <v>-1.66</v>
      </c>
      <c r="O31" s="76" t="s">
        <v>265</v>
      </c>
      <c r="P31" s="12" t="s">
        <v>266</v>
      </c>
    </row>
    <row r="32" customFormat="false" ht="15" hidden="false" customHeight="true" outlineLevel="0" collapsed="false">
      <c r="A32" s="61" t="s">
        <v>355</v>
      </c>
      <c r="B32" s="26" t="s">
        <v>356</v>
      </c>
      <c r="C32" s="26" t="s">
        <v>357</v>
      </c>
      <c r="D32" s="27" t="s">
        <v>67</v>
      </c>
      <c r="E32" s="61" t="s">
        <v>263</v>
      </c>
      <c r="F32" s="76" t="s">
        <v>264</v>
      </c>
      <c r="G32" s="29" t="s">
        <v>271</v>
      </c>
      <c r="H32" s="33" t="n">
        <v>10000</v>
      </c>
      <c r="I32" s="31" t="n">
        <v>140.44</v>
      </c>
      <c r="J32" s="32" t="n">
        <v>140.68</v>
      </c>
      <c r="K32" s="84" t="n">
        <v>1.41</v>
      </c>
      <c r="L32" s="85" t="n">
        <v>0.0007</v>
      </c>
      <c r="M32" s="86" t="n">
        <v>6.4</v>
      </c>
      <c r="N32" s="87" t="n">
        <v>0.564</v>
      </c>
      <c r="O32" s="76" t="s">
        <v>265</v>
      </c>
      <c r="P32" s="27" t="s">
        <v>285</v>
      </c>
    </row>
    <row r="33" customFormat="false" ht="15" hidden="false" customHeight="true" outlineLevel="0" collapsed="false">
      <c r="A33" s="55" t="s">
        <v>358</v>
      </c>
      <c r="B33" s="11" t="s">
        <v>359</v>
      </c>
      <c r="C33" s="11" t="s">
        <v>360</v>
      </c>
      <c r="D33" s="12" t="s">
        <v>45</v>
      </c>
      <c r="E33" s="55" t="s">
        <v>90</v>
      </c>
      <c r="F33" s="76" t="s">
        <v>264</v>
      </c>
      <c r="G33" s="14" t="s">
        <v>276</v>
      </c>
      <c r="H33" s="18" t="n">
        <v>50</v>
      </c>
      <c r="I33" s="16" t="n">
        <v>164.56</v>
      </c>
      <c r="J33" s="17" t="n">
        <v>164.77</v>
      </c>
      <c r="K33" s="80" t="n">
        <v>0.01</v>
      </c>
      <c r="L33" s="81" t="n">
        <v>0</v>
      </c>
      <c r="M33" s="82" t="n">
        <v>4</v>
      </c>
      <c r="N33" s="90" t="n">
        <v>-0.203</v>
      </c>
      <c r="O33" s="76" t="s">
        <v>265</v>
      </c>
      <c r="P33" s="12" t="s">
        <v>266</v>
      </c>
    </row>
    <row r="34" customFormat="false" ht="15" hidden="false" customHeight="true" outlineLevel="0" collapsed="false">
      <c r="A34" s="61" t="s">
        <v>361</v>
      </c>
      <c r="B34" s="26" t="s">
        <v>268</v>
      </c>
      <c r="C34" s="26" t="s">
        <v>362</v>
      </c>
      <c r="D34" s="27" t="s">
        <v>52</v>
      </c>
      <c r="E34" s="61" t="s">
        <v>283</v>
      </c>
      <c r="F34" s="76" t="s">
        <v>264</v>
      </c>
      <c r="G34" s="29" t="s">
        <v>276</v>
      </c>
      <c r="H34" s="33" t="n">
        <v>25000</v>
      </c>
      <c r="I34" s="31" t="n">
        <v>581.46</v>
      </c>
      <c r="J34" s="32" t="n">
        <v>580.95</v>
      </c>
      <c r="K34" s="84" t="n">
        <v>14.52</v>
      </c>
      <c r="L34" s="85" t="n">
        <v>0.0073</v>
      </c>
      <c r="M34" s="86" t="n">
        <v>5.3</v>
      </c>
      <c r="N34" s="87" t="n">
        <v>0.478</v>
      </c>
      <c r="O34" s="79" t="s">
        <v>363</v>
      </c>
      <c r="P34" s="27" t="s">
        <v>289</v>
      </c>
    </row>
    <row r="35" customFormat="false" ht="15" hidden="false" customHeight="true" outlineLevel="0" collapsed="false">
      <c r="A35" s="55" t="s">
        <v>364</v>
      </c>
      <c r="B35" s="11" t="s">
        <v>295</v>
      </c>
      <c r="C35" s="11" t="s">
        <v>365</v>
      </c>
      <c r="D35" s="12" t="s">
        <v>262</v>
      </c>
      <c r="E35" s="55" t="s">
        <v>263</v>
      </c>
      <c r="F35" s="79" t="s">
        <v>284</v>
      </c>
      <c r="G35" s="14" t="s">
        <v>176</v>
      </c>
      <c r="H35" s="18" t="n">
        <v>10000</v>
      </c>
      <c r="I35" s="16" t="n">
        <v>100.71</v>
      </c>
      <c r="J35" s="17" t="n">
        <v>100.68</v>
      </c>
      <c r="K35" s="80" t="n">
        <v>1.01</v>
      </c>
      <c r="L35" s="81" t="n">
        <v>0.0005</v>
      </c>
      <c r="M35" s="82" t="n">
        <v>6</v>
      </c>
      <c r="N35" s="90" t="n">
        <v>-0.142</v>
      </c>
      <c r="O35" s="76" t="s">
        <v>265</v>
      </c>
      <c r="P35" s="12" t="s">
        <v>289</v>
      </c>
    </row>
    <row r="36" customFormat="false" ht="15" hidden="false" customHeight="true" outlineLevel="0" collapsed="false">
      <c r="A36" s="61" t="s">
        <v>366</v>
      </c>
      <c r="B36" s="26" t="s">
        <v>327</v>
      </c>
      <c r="C36" s="26" t="s">
        <v>367</v>
      </c>
      <c r="D36" s="27" t="s">
        <v>297</v>
      </c>
      <c r="E36" s="61" t="s">
        <v>283</v>
      </c>
      <c r="F36" s="76" t="s">
        <v>264</v>
      </c>
      <c r="G36" s="29" t="s">
        <v>293</v>
      </c>
      <c r="H36" s="33" t="n">
        <v>10</v>
      </c>
      <c r="I36" s="31" t="n">
        <v>40.95</v>
      </c>
      <c r="J36" s="32" t="n">
        <v>41.02</v>
      </c>
      <c r="K36" s="84" t="n">
        <v>0</v>
      </c>
      <c r="L36" s="85" t="n">
        <v>0</v>
      </c>
      <c r="M36" s="86" t="n">
        <v>4.5</v>
      </c>
      <c r="N36" s="87" t="n">
        <v>2.78</v>
      </c>
      <c r="O36" s="76" t="s">
        <v>265</v>
      </c>
      <c r="P36" s="27" t="s">
        <v>285</v>
      </c>
    </row>
    <row r="37" customFormat="false" ht="15" hidden="false" customHeight="true" outlineLevel="0" collapsed="false">
      <c r="A37" s="55" t="s">
        <v>368</v>
      </c>
      <c r="B37" s="11" t="s">
        <v>273</v>
      </c>
      <c r="C37" s="11" t="s">
        <v>369</v>
      </c>
      <c r="D37" s="12" t="s">
        <v>58</v>
      </c>
      <c r="E37" s="55" t="s">
        <v>85</v>
      </c>
      <c r="F37" s="76" t="s">
        <v>264</v>
      </c>
      <c r="G37" s="14" t="s">
        <v>293</v>
      </c>
      <c r="H37" s="18" t="n">
        <v>25000</v>
      </c>
      <c r="I37" s="16" t="n">
        <v>443.06</v>
      </c>
      <c r="J37" s="17" t="n">
        <v>442.71</v>
      </c>
      <c r="K37" s="80" t="n">
        <v>11.07</v>
      </c>
      <c r="L37" s="81" t="n">
        <v>0.0055</v>
      </c>
      <c r="M37" s="82" t="n">
        <v>2.8</v>
      </c>
      <c r="N37" s="83" t="n">
        <v>0.54</v>
      </c>
      <c r="O37" s="76" t="s">
        <v>265</v>
      </c>
      <c r="P37" s="12" t="s">
        <v>339</v>
      </c>
    </row>
    <row r="38" customFormat="false" ht="15" hidden="false" customHeight="true" outlineLevel="0" collapsed="false">
      <c r="A38" s="61" t="s">
        <v>370</v>
      </c>
      <c r="B38" s="26" t="s">
        <v>314</v>
      </c>
      <c r="C38" s="26" t="s">
        <v>371</v>
      </c>
      <c r="D38" s="27" t="s">
        <v>52</v>
      </c>
      <c r="E38" s="61" t="s">
        <v>263</v>
      </c>
      <c r="F38" s="79" t="s">
        <v>284</v>
      </c>
      <c r="G38" s="29" t="s">
        <v>309</v>
      </c>
      <c r="H38" s="33" t="n">
        <v>200000</v>
      </c>
      <c r="I38" s="31" t="n">
        <v>267.4</v>
      </c>
      <c r="J38" s="32" t="n">
        <v>267.76</v>
      </c>
      <c r="K38" s="84" t="n">
        <v>53.55</v>
      </c>
      <c r="L38" s="85" t="n">
        <v>0.0268</v>
      </c>
      <c r="M38" s="86" t="n">
        <v>2.8</v>
      </c>
      <c r="N38" s="89" t="n">
        <v>-0.887</v>
      </c>
      <c r="O38" s="76" t="s">
        <v>265</v>
      </c>
      <c r="P38" s="27" t="s">
        <v>289</v>
      </c>
    </row>
    <row r="39" customFormat="false" ht="15" hidden="false" customHeight="true" outlineLevel="0" collapsed="false">
      <c r="A39" s="55" t="s">
        <v>372</v>
      </c>
      <c r="B39" s="11" t="s">
        <v>260</v>
      </c>
      <c r="C39" s="11" t="s">
        <v>373</v>
      </c>
      <c r="D39" s="12" t="s">
        <v>93</v>
      </c>
      <c r="E39" s="55" t="s">
        <v>263</v>
      </c>
      <c r="F39" s="79" t="s">
        <v>284</v>
      </c>
      <c r="G39" s="14" t="s">
        <v>271</v>
      </c>
      <c r="H39" s="18" t="n">
        <v>50000</v>
      </c>
      <c r="I39" s="16" t="n">
        <v>408.96</v>
      </c>
      <c r="J39" s="17" t="n">
        <v>408.61</v>
      </c>
      <c r="K39" s="80" t="n">
        <v>20.43</v>
      </c>
      <c r="L39" s="81" t="n">
        <v>0.0102</v>
      </c>
      <c r="M39" s="82" t="n">
        <v>5.5</v>
      </c>
      <c r="N39" s="83" t="n">
        <v>2.059</v>
      </c>
      <c r="O39" s="76" t="s">
        <v>265</v>
      </c>
      <c r="P39" s="12" t="s">
        <v>266</v>
      </c>
    </row>
    <row r="40" customFormat="false" ht="15" hidden="false" customHeight="true" outlineLevel="0" collapsed="false">
      <c r="A40" s="61" t="s">
        <v>374</v>
      </c>
      <c r="B40" s="26" t="s">
        <v>268</v>
      </c>
      <c r="C40" s="26" t="s">
        <v>375</v>
      </c>
      <c r="D40" s="27" t="s">
        <v>297</v>
      </c>
      <c r="E40" s="61" t="s">
        <v>263</v>
      </c>
      <c r="F40" s="76" t="s">
        <v>264</v>
      </c>
      <c r="G40" s="29" t="s">
        <v>325</v>
      </c>
      <c r="H40" s="33" t="n">
        <v>100000</v>
      </c>
      <c r="I40" s="31" t="n">
        <v>591</v>
      </c>
      <c r="J40" s="32" t="n">
        <v>591.26</v>
      </c>
      <c r="K40" s="84" t="n">
        <v>59.13</v>
      </c>
      <c r="L40" s="85" t="n">
        <v>0.0296</v>
      </c>
      <c r="M40" s="86" t="n">
        <v>6.3</v>
      </c>
      <c r="N40" s="87" t="n">
        <v>0.879</v>
      </c>
      <c r="O40" s="76" t="s">
        <v>265</v>
      </c>
      <c r="P40" s="27" t="s">
        <v>289</v>
      </c>
    </row>
    <row r="41" customFormat="false" ht="15" hidden="false" customHeight="true" outlineLevel="0" collapsed="false">
      <c r="A41" s="55" t="s">
        <v>376</v>
      </c>
      <c r="B41" s="11" t="s">
        <v>273</v>
      </c>
      <c r="C41" s="11" t="s">
        <v>377</v>
      </c>
      <c r="D41" s="12" t="s">
        <v>67</v>
      </c>
      <c r="E41" s="55" t="s">
        <v>263</v>
      </c>
      <c r="F41" s="79" t="s">
        <v>284</v>
      </c>
      <c r="G41" s="14" t="s">
        <v>293</v>
      </c>
      <c r="H41" s="18" t="n">
        <v>10000</v>
      </c>
      <c r="I41" s="16" t="n">
        <v>539.89</v>
      </c>
      <c r="J41" s="17" t="n">
        <v>540.67</v>
      </c>
      <c r="K41" s="80" t="n">
        <v>5.41</v>
      </c>
      <c r="L41" s="81" t="n">
        <v>0.0027</v>
      </c>
      <c r="M41" s="82" t="n">
        <v>7.1</v>
      </c>
      <c r="N41" s="83" t="n">
        <v>3.205</v>
      </c>
      <c r="O41" s="76" t="s">
        <v>265</v>
      </c>
      <c r="P41" s="12" t="s">
        <v>266</v>
      </c>
    </row>
    <row r="42" customFormat="false" ht="15" hidden="false" customHeight="true" outlineLevel="0" collapsed="false">
      <c r="A42" s="61" t="s">
        <v>378</v>
      </c>
      <c r="B42" s="26" t="s">
        <v>318</v>
      </c>
      <c r="C42" s="26" t="s">
        <v>379</v>
      </c>
      <c r="D42" s="27" t="s">
        <v>67</v>
      </c>
      <c r="E42" s="61" t="s">
        <v>275</v>
      </c>
      <c r="F42" s="76" t="s">
        <v>264</v>
      </c>
      <c r="G42" s="29" t="s">
        <v>176</v>
      </c>
      <c r="H42" s="33" t="n">
        <v>50</v>
      </c>
      <c r="I42" s="31" t="n">
        <v>413.84</v>
      </c>
      <c r="J42" s="32" t="n">
        <v>414.65</v>
      </c>
      <c r="K42" s="84" t="n">
        <v>0.02</v>
      </c>
      <c r="L42" s="85" t="n">
        <v>0</v>
      </c>
      <c r="M42" s="86" t="n">
        <v>5</v>
      </c>
      <c r="N42" s="87" t="n">
        <v>4.44</v>
      </c>
      <c r="O42" s="76" t="s">
        <v>265</v>
      </c>
      <c r="P42" s="27" t="s">
        <v>289</v>
      </c>
    </row>
    <row r="43" customFormat="false" ht="15" hidden="false" customHeight="true" outlineLevel="0" collapsed="false">
      <c r="A43" s="55" t="s">
        <v>380</v>
      </c>
      <c r="B43" s="11" t="s">
        <v>381</v>
      </c>
      <c r="C43" s="11" t="s">
        <v>382</v>
      </c>
      <c r="D43" s="12" t="s">
        <v>270</v>
      </c>
      <c r="E43" s="55" t="s">
        <v>90</v>
      </c>
      <c r="F43" s="76" t="s">
        <v>264</v>
      </c>
      <c r="G43" s="14" t="s">
        <v>293</v>
      </c>
      <c r="H43" s="18" t="n">
        <v>50</v>
      </c>
      <c r="I43" s="16" t="n">
        <v>292.04</v>
      </c>
      <c r="J43" s="17" t="n">
        <v>292.33</v>
      </c>
      <c r="K43" s="80" t="n">
        <v>0.01</v>
      </c>
      <c r="L43" s="81" t="n">
        <v>0</v>
      </c>
      <c r="M43" s="82" t="n">
        <v>6.8</v>
      </c>
      <c r="N43" s="90" t="n">
        <v>-0.403</v>
      </c>
      <c r="O43" s="76" t="s">
        <v>265</v>
      </c>
      <c r="P43" s="12" t="s">
        <v>278</v>
      </c>
    </row>
    <row r="44" customFormat="false" ht="15" hidden="false" customHeight="true" outlineLevel="0" collapsed="false">
      <c r="A44" s="61" t="s">
        <v>383</v>
      </c>
      <c r="B44" s="26" t="s">
        <v>260</v>
      </c>
      <c r="C44" s="26" t="s">
        <v>384</v>
      </c>
      <c r="D44" s="27" t="s">
        <v>49</v>
      </c>
      <c r="E44" s="61" t="s">
        <v>283</v>
      </c>
      <c r="F44" s="76" t="s">
        <v>264</v>
      </c>
      <c r="G44" s="29" t="s">
        <v>176</v>
      </c>
      <c r="H44" s="33" t="n">
        <v>5</v>
      </c>
      <c r="I44" s="31" t="n">
        <v>219.04</v>
      </c>
      <c r="J44" s="32" t="n">
        <v>219.08</v>
      </c>
      <c r="K44" s="84" t="n">
        <v>0</v>
      </c>
      <c r="L44" s="85" t="n">
        <v>0</v>
      </c>
      <c r="M44" s="86" t="n">
        <v>1.5</v>
      </c>
      <c r="N44" s="89" t="n">
        <v>-0.735</v>
      </c>
      <c r="O44" s="76" t="s">
        <v>265</v>
      </c>
      <c r="P44" s="27" t="s">
        <v>285</v>
      </c>
    </row>
  </sheetData>
  <mergeCells count="2">
    <mergeCell ref="A1:P1"/>
    <mergeCell ref="A2:P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4"/>
    <col collapsed="false" customWidth="true" hidden="false" outlineLevel="0" max="3" min="3" style="0" width="16"/>
    <col collapsed="false" customWidth="true" hidden="false" outlineLevel="0" max="9" min="4" style="0" width="14"/>
    <col collapsed="false" customWidth="true" hidden="false" outlineLevel="0" max="10" min="10" style="0" width="16"/>
  </cols>
  <sheetData>
    <row r="1" customFormat="false" ht="31.5" hidden="false" customHeight="true" outlineLevel="0" collapsed="false">
      <c r="A1" s="51" t="s">
        <v>385</v>
      </c>
      <c r="B1" s="51"/>
      <c r="C1" s="51"/>
      <c r="D1" s="51"/>
      <c r="E1" s="51"/>
      <c r="F1" s="51"/>
      <c r="G1" s="51"/>
      <c r="H1" s="51"/>
      <c r="I1" s="51"/>
      <c r="J1" s="51"/>
    </row>
    <row r="3" customFormat="false" ht="27.75" hidden="false" customHeight="true" outlineLevel="0" collapsed="false">
      <c r="A3" s="10"/>
      <c r="B3" s="10" t="s">
        <v>386</v>
      </c>
      <c r="C3" s="10" t="s">
        <v>387</v>
      </c>
      <c r="D3" s="10" t="s">
        <v>388</v>
      </c>
      <c r="E3" s="10" t="s">
        <v>3</v>
      </c>
      <c r="F3" s="10" t="s">
        <v>389</v>
      </c>
      <c r="G3" s="10" t="s">
        <v>390</v>
      </c>
      <c r="H3" s="10" t="s">
        <v>391</v>
      </c>
      <c r="I3" s="10" t="s">
        <v>392</v>
      </c>
      <c r="J3" s="10" t="s">
        <v>393</v>
      </c>
    </row>
    <row r="4" customFormat="false" ht="18" hidden="false" customHeight="true" outlineLevel="0" collapsed="false">
      <c r="A4" s="11" t="n">
        <v>1</v>
      </c>
      <c r="B4" s="71" t="s">
        <v>394</v>
      </c>
      <c r="C4" s="11" t="s">
        <v>395</v>
      </c>
      <c r="D4" s="11" t="s">
        <v>396</v>
      </c>
      <c r="E4" s="20" t="n">
        <v>880</v>
      </c>
      <c r="F4" s="19" t="n">
        <v>0</v>
      </c>
      <c r="G4" s="19" t="n">
        <v>0</v>
      </c>
      <c r="H4" s="19" t="n">
        <v>0</v>
      </c>
      <c r="I4" s="54" t="n">
        <v>0.031</v>
      </c>
      <c r="J4" s="21" t="n">
        <v>48.2</v>
      </c>
    </row>
    <row r="5" customFormat="false" ht="18" hidden="false" customHeight="true" outlineLevel="0" collapsed="false">
      <c r="A5" s="26" t="n">
        <v>2</v>
      </c>
      <c r="B5" s="73" t="s">
        <v>397</v>
      </c>
      <c r="C5" s="26" t="s">
        <v>398</v>
      </c>
      <c r="D5" s="26" t="s">
        <v>396</v>
      </c>
      <c r="E5" s="35" t="n">
        <v>640</v>
      </c>
      <c r="F5" s="34" t="n">
        <v>0</v>
      </c>
      <c r="G5" s="44" t="n">
        <v>-50</v>
      </c>
      <c r="H5" s="44" t="n">
        <v>-50</v>
      </c>
      <c r="I5" s="60" t="n">
        <v>0.031</v>
      </c>
      <c r="J5" s="36" t="n">
        <v>31.8</v>
      </c>
    </row>
    <row r="6" customFormat="false" ht="18" hidden="false" customHeight="true" outlineLevel="0" collapsed="false">
      <c r="A6" s="11" t="n">
        <v>3</v>
      </c>
      <c r="B6" s="71" t="s">
        <v>399</v>
      </c>
      <c r="C6" s="11" t="s">
        <v>398</v>
      </c>
      <c r="D6" s="11" t="s">
        <v>396</v>
      </c>
      <c r="E6" s="20" t="n">
        <v>520</v>
      </c>
      <c r="F6" s="24" t="n">
        <v>50</v>
      </c>
      <c r="G6" s="19" t="n">
        <v>0</v>
      </c>
      <c r="H6" s="24" t="n">
        <v>50</v>
      </c>
      <c r="I6" s="54" t="n">
        <v>0.031</v>
      </c>
      <c r="J6" s="21" t="n">
        <v>24.6</v>
      </c>
    </row>
    <row r="7" customFormat="false" ht="18" hidden="false" customHeight="true" outlineLevel="0" collapsed="false">
      <c r="A7" s="26" t="n">
        <v>4</v>
      </c>
      <c r="B7" s="73" t="s">
        <v>400</v>
      </c>
      <c r="C7" s="26" t="s">
        <v>401</v>
      </c>
      <c r="D7" s="26" t="s">
        <v>402</v>
      </c>
      <c r="E7" s="35" t="n">
        <v>380</v>
      </c>
      <c r="F7" s="34" t="n">
        <v>0</v>
      </c>
      <c r="G7" s="34" t="n">
        <v>0</v>
      </c>
      <c r="H7" s="34" t="n">
        <v>0</v>
      </c>
      <c r="I7" s="60" t="n">
        <v>0.028</v>
      </c>
      <c r="J7" s="36" t="n">
        <v>17.4</v>
      </c>
    </row>
    <row r="8" customFormat="false" ht="18" hidden="false" customHeight="true" outlineLevel="0" collapsed="false">
      <c r="A8" s="11" t="n">
        <v>5</v>
      </c>
      <c r="B8" s="71" t="s">
        <v>403</v>
      </c>
      <c r="C8" s="11" t="s">
        <v>401</v>
      </c>
      <c r="D8" s="11" t="s">
        <v>402</v>
      </c>
      <c r="E8" s="20" t="n">
        <v>420</v>
      </c>
      <c r="F8" s="24" t="n">
        <v>100</v>
      </c>
      <c r="G8" s="19" t="n">
        <v>0</v>
      </c>
      <c r="H8" s="24" t="n">
        <v>100</v>
      </c>
      <c r="I8" s="54" t="n">
        <v>0.028</v>
      </c>
      <c r="J8" s="21" t="n">
        <v>19.2</v>
      </c>
    </row>
    <row r="9" customFormat="false" ht="18" hidden="false" customHeight="true" outlineLevel="0" collapsed="false">
      <c r="A9" s="26" t="n">
        <v>6</v>
      </c>
      <c r="B9" s="73" t="s">
        <v>404</v>
      </c>
      <c r="C9" s="26" t="s">
        <v>405</v>
      </c>
      <c r="D9" s="26" t="s">
        <v>406</v>
      </c>
      <c r="E9" s="35" t="n">
        <v>280</v>
      </c>
      <c r="F9" s="34" t="n">
        <v>0</v>
      </c>
      <c r="G9" s="44" t="n">
        <v>-100</v>
      </c>
      <c r="H9" s="44" t="n">
        <v>-100</v>
      </c>
      <c r="I9" s="60" t="n">
        <v>0.031</v>
      </c>
      <c r="J9" s="36" t="n">
        <v>11.8</v>
      </c>
    </row>
    <row r="10" customFormat="false" ht="18" hidden="false" customHeight="true" outlineLevel="0" collapsed="false">
      <c r="A10" s="11" t="n">
        <v>7</v>
      </c>
      <c r="B10" s="71" t="s">
        <v>407</v>
      </c>
      <c r="C10" s="11" t="s">
        <v>408</v>
      </c>
      <c r="D10" s="11" t="s">
        <v>402</v>
      </c>
      <c r="E10" s="20" t="n">
        <v>320</v>
      </c>
      <c r="F10" s="19" t="n">
        <v>0</v>
      </c>
      <c r="G10" s="19" t="n">
        <v>0</v>
      </c>
      <c r="H10" s="19" t="n">
        <v>0</v>
      </c>
      <c r="I10" s="54" t="n">
        <v>0.028</v>
      </c>
      <c r="J10" s="21" t="n">
        <v>14.2</v>
      </c>
    </row>
    <row r="11" customFormat="false" ht="18" hidden="false" customHeight="true" outlineLevel="0" collapsed="false">
      <c r="A11" s="26" t="n">
        <v>8</v>
      </c>
      <c r="B11" s="73" t="s">
        <v>409</v>
      </c>
      <c r="C11" s="26" t="s">
        <v>405</v>
      </c>
      <c r="D11" s="26" t="s">
        <v>410</v>
      </c>
      <c r="E11" s="35" t="n">
        <v>180</v>
      </c>
      <c r="F11" s="38" t="n">
        <v>20</v>
      </c>
      <c r="G11" s="34" t="n">
        <v>0</v>
      </c>
      <c r="H11" s="38" t="n">
        <v>20</v>
      </c>
      <c r="I11" s="60" t="n">
        <v>0.024</v>
      </c>
      <c r="J11" s="36" t="n">
        <v>7.4</v>
      </c>
    </row>
    <row r="12" customFormat="false" ht="18" hidden="false" customHeight="true" outlineLevel="0" collapsed="false">
      <c r="A12" s="11" t="n">
        <v>9</v>
      </c>
      <c r="B12" s="71" t="s">
        <v>411</v>
      </c>
      <c r="C12" s="11" t="s">
        <v>405</v>
      </c>
      <c r="D12" s="11" t="s">
        <v>410</v>
      </c>
      <c r="E12" s="20" t="n">
        <v>240</v>
      </c>
      <c r="F12" s="19" t="n">
        <v>0</v>
      </c>
      <c r="G12" s="23" t="n">
        <v>-30</v>
      </c>
      <c r="H12" s="23" t="n">
        <v>-30</v>
      </c>
      <c r="I12" s="54" t="n">
        <v>0.024</v>
      </c>
      <c r="J12" s="21" t="n">
        <v>9.8</v>
      </c>
    </row>
    <row r="13" customFormat="false" ht="18" hidden="false" customHeight="true" outlineLevel="0" collapsed="false">
      <c r="A13" s="26" t="n">
        <v>10</v>
      </c>
      <c r="B13" s="73" t="s">
        <v>412</v>
      </c>
      <c r="C13" s="26" t="s">
        <v>395</v>
      </c>
      <c r="D13" s="26" t="s">
        <v>396</v>
      </c>
      <c r="E13" s="35" t="n">
        <v>480</v>
      </c>
      <c r="F13" s="38" t="n">
        <v>200</v>
      </c>
      <c r="G13" s="34" t="n">
        <v>0</v>
      </c>
      <c r="H13" s="38" t="n">
        <v>200</v>
      </c>
      <c r="I13" s="60" t="n">
        <v>0.031</v>
      </c>
      <c r="J13" s="36" t="n">
        <v>21.6</v>
      </c>
    </row>
    <row r="14" customFormat="false" ht="18" hidden="false" customHeight="true" outlineLevel="0" collapsed="false">
      <c r="A14" s="11" t="n">
        <v>11</v>
      </c>
      <c r="B14" s="71" t="s">
        <v>413</v>
      </c>
      <c r="C14" s="11" t="s">
        <v>401</v>
      </c>
      <c r="D14" s="11" t="s">
        <v>402</v>
      </c>
      <c r="E14" s="20" t="n">
        <v>360</v>
      </c>
      <c r="F14" s="19" t="n">
        <v>0</v>
      </c>
      <c r="G14" s="19" t="n">
        <v>0</v>
      </c>
      <c r="H14" s="19" t="n">
        <v>0</v>
      </c>
      <c r="I14" s="54" t="n">
        <v>0.028</v>
      </c>
      <c r="J14" s="21" t="n">
        <v>16.4</v>
      </c>
    </row>
    <row r="15" customFormat="false" ht="18" hidden="false" customHeight="true" outlineLevel="0" collapsed="false">
      <c r="A15" s="26" t="n">
        <v>12</v>
      </c>
      <c r="B15" s="73" t="s">
        <v>414</v>
      </c>
      <c r="C15" s="26" t="s">
        <v>401</v>
      </c>
      <c r="D15" s="26" t="s">
        <v>402</v>
      </c>
      <c r="E15" s="35" t="n">
        <v>140</v>
      </c>
      <c r="F15" s="34" t="n">
        <v>0</v>
      </c>
      <c r="G15" s="34" t="n">
        <v>0</v>
      </c>
      <c r="H15" s="34" t="n">
        <v>0</v>
      </c>
      <c r="I15" s="60" t="n">
        <v>0.028</v>
      </c>
      <c r="J15" s="36" t="n">
        <v>5.8</v>
      </c>
    </row>
    <row r="16" customFormat="false" ht="19.5" hidden="false" customHeight="true" outlineLevel="0" collapsed="false">
      <c r="A16" s="68"/>
      <c r="B16" s="66" t="s">
        <v>415</v>
      </c>
      <c r="C16" s="68"/>
      <c r="D16" s="68"/>
      <c r="E16" s="49" t="n">
        <f aca="false">SUM(E4:E15)</f>
        <v>4840</v>
      </c>
      <c r="F16" s="49" t="n">
        <f aca="false">SUM(F4:F15)</f>
        <v>370</v>
      </c>
      <c r="G16" s="49" t="n">
        <f aca="false">SUM(G4:G15)</f>
        <v>-180</v>
      </c>
      <c r="H16" s="49" t="n">
        <f aca="false">SUM(H4:H15)</f>
        <v>190</v>
      </c>
      <c r="I16" s="68"/>
      <c r="J16" s="49" t="n">
        <f aca="false">SUM(J4:J15)</f>
        <v>228.2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14" min="3" style="0" width="10"/>
    <col collapsed="false" customWidth="true" hidden="false" outlineLevel="0" max="16" min="15" style="0" width="12"/>
  </cols>
  <sheetData>
    <row r="1" customFormat="false" ht="31.5" hidden="false" customHeight="true" outlineLevel="0" collapsed="false">
      <c r="A1" s="51" t="s">
        <v>416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</row>
    <row r="2" customFormat="false" ht="24" hidden="false" customHeight="true" outlineLevel="0" collapsed="false">
      <c r="A2" s="91"/>
      <c r="B2" s="91" t="s">
        <v>417</v>
      </c>
      <c r="C2" s="91" t="s">
        <v>418</v>
      </c>
      <c r="D2" s="91" t="s">
        <v>419</v>
      </c>
      <c r="E2" s="91" t="s">
        <v>420</v>
      </c>
      <c r="F2" s="91" t="s">
        <v>421</v>
      </c>
      <c r="G2" s="91" t="s">
        <v>422</v>
      </c>
      <c r="H2" s="91" t="s">
        <v>423</v>
      </c>
      <c r="I2" s="91" t="s">
        <v>424</v>
      </c>
      <c r="J2" s="91" t="s">
        <v>425</v>
      </c>
      <c r="K2" s="91" t="s">
        <v>426</v>
      </c>
      <c r="L2" s="91" t="s">
        <v>427</v>
      </c>
      <c r="M2" s="91" t="s">
        <v>428</v>
      </c>
      <c r="N2" s="91" t="s">
        <v>429</v>
      </c>
      <c r="O2" s="92" t="s">
        <v>430</v>
      </c>
      <c r="P2" s="93" t="s">
        <v>431</v>
      </c>
    </row>
    <row r="3" customFormat="false" ht="15.75" hidden="false" customHeight="true" outlineLevel="0" collapsed="false">
      <c r="A3" s="94" t="n">
        <v>2022</v>
      </c>
      <c r="B3" s="95" t="s">
        <v>432</v>
      </c>
      <c r="C3" s="96" t="n">
        <v>0.0085</v>
      </c>
      <c r="D3" s="97" t="n">
        <v>-0.016</v>
      </c>
      <c r="E3" s="97" t="n">
        <v>-0.0185</v>
      </c>
      <c r="F3" s="97" t="n">
        <v>-0.0102</v>
      </c>
      <c r="G3" s="96" t="n">
        <v>0.0512</v>
      </c>
      <c r="H3" s="97" t="n">
        <v>-0.0099</v>
      </c>
      <c r="I3" s="96" t="n">
        <v>0.006</v>
      </c>
      <c r="J3" s="96" t="n">
        <v>0.0421</v>
      </c>
      <c r="K3" s="96" t="n">
        <v>0.0246</v>
      </c>
      <c r="L3" s="96" t="n">
        <v>0.0726</v>
      </c>
      <c r="M3" s="96" t="n">
        <v>0.0187</v>
      </c>
      <c r="N3" s="96" t="n">
        <v>0.0106</v>
      </c>
      <c r="O3" s="96" t="n">
        <f aca="false">SUM(C3,D3,E3,F3,G3,H3,I3,J3,K3,L3,M3,N3)</f>
        <v>0.1797</v>
      </c>
    </row>
    <row r="4" customFormat="false" ht="15.75" hidden="false" customHeight="true" outlineLevel="0" collapsed="false">
      <c r="A4" s="26" t="n">
        <v>2022</v>
      </c>
      <c r="B4" s="59" t="s">
        <v>145</v>
      </c>
      <c r="C4" s="98" t="n">
        <v>0.0336</v>
      </c>
      <c r="D4" s="99" t="n">
        <v>-0.014</v>
      </c>
      <c r="E4" s="98" t="n">
        <v>0.0682</v>
      </c>
      <c r="F4" s="98" t="n">
        <v>0.0049</v>
      </c>
      <c r="G4" s="98" t="n">
        <v>0.0066</v>
      </c>
      <c r="H4" s="98" t="n">
        <v>0.0419</v>
      </c>
      <c r="I4" s="99" t="n">
        <v>-0.0217</v>
      </c>
      <c r="J4" s="98" t="n">
        <v>0.0393</v>
      </c>
      <c r="K4" s="98" t="n">
        <v>0.062</v>
      </c>
      <c r="L4" s="98" t="n">
        <v>0.0007</v>
      </c>
      <c r="M4" s="98" t="n">
        <v>0.0736</v>
      </c>
      <c r="N4" s="98" t="n">
        <v>0.0234</v>
      </c>
      <c r="O4" s="96" t="n">
        <f aca="false">SUM(C4,D4,E4,F4,G4,H4,I4,J4,K4,L4,M4,N4)</f>
        <v>0.3185</v>
      </c>
    </row>
    <row r="5" customFormat="false" ht="15.75" hidden="false" customHeight="true" outlineLevel="0" collapsed="false">
      <c r="A5" s="11" t="n">
        <v>2022</v>
      </c>
      <c r="B5" s="53" t="s">
        <v>147</v>
      </c>
      <c r="C5" s="98" t="n">
        <v>0.0529</v>
      </c>
      <c r="D5" s="98" t="n">
        <v>0.0163</v>
      </c>
      <c r="E5" s="98" t="n">
        <v>0.0083</v>
      </c>
      <c r="F5" s="99" t="n">
        <v>-0.0077</v>
      </c>
      <c r="G5" s="99" t="n">
        <v>-0.0391</v>
      </c>
      <c r="H5" s="99" t="n">
        <v>-0.0155</v>
      </c>
      <c r="I5" s="98" t="n">
        <v>0.0787</v>
      </c>
      <c r="J5" s="98" t="n">
        <v>0.0241</v>
      </c>
      <c r="K5" s="98" t="n">
        <v>0.0155</v>
      </c>
      <c r="L5" s="98" t="n">
        <v>0.068</v>
      </c>
      <c r="M5" s="98" t="n">
        <v>0.0327</v>
      </c>
      <c r="N5" s="98" t="n">
        <v>0.0772</v>
      </c>
      <c r="O5" s="96" t="n">
        <f aca="false">SUM(C5,D5,E5,F5,G5,H5,I5,J5,K5,L5,M5,N5)</f>
        <v>0.3114</v>
      </c>
    </row>
    <row r="6" customFormat="false" ht="15.75" hidden="false" customHeight="true" outlineLevel="0" collapsed="false">
      <c r="A6" s="26" t="n">
        <v>2022</v>
      </c>
      <c r="B6" s="59" t="s">
        <v>84</v>
      </c>
      <c r="C6" s="98" t="n">
        <v>0.0029</v>
      </c>
      <c r="D6" s="99" t="n">
        <v>-0.0141</v>
      </c>
      <c r="E6" s="98" t="n">
        <v>0.0705</v>
      </c>
      <c r="F6" s="99" t="n">
        <v>-0.0207</v>
      </c>
      <c r="G6" s="98" t="n">
        <v>0.055</v>
      </c>
      <c r="H6" s="98" t="n">
        <v>0.0315</v>
      </c>
      <c r="I6" s="98" t="n">
        <v>0.0779</v>
      </c>
      <c r="J6" s="98" t="n">
        <v>0.0733</v>
      </c>
      <c r="K6" s="98" t="n">
        <v>0.0392</v>
      </c>
      <c r="L6" s="99" t="n">
        <v>-0.0356</v>
      </c>
      <c r="M6" s="99" t="n">
        <v>-0.0372</v>
      </c>
      <c r="N6" s="98" t="n">
        <v>0.0168</v>
      </c>
      <c r="O6" s="96" t="n">
        <f aca="false">SUM(C6,D6,E6,F6,G6,H6,I6,J6,K6,L6,M6,N6)</f>
        <v>0.2595</v>
      </c>
    </row>
    <row r="7" customFormat="false" ht="15.75" hidden="false" customHeight="true" outlineLevel="0" collapsed="false">
      <c r="A7" s="11" t="n">
        <v>2022</v>
      </c>
      <c r="B7" s="53" t="s">
        <v>433</v>
      </c>
      <c r="C7" s="98" t="n">
        <v>0.0584</v>
      </c>
      <c r="D7" s="99" t="n">
        <v>-0.0303</v>
      </c>
      <c r="E7" s="98" t="n">
        <v>0.0111</v>
      </c>
      <c r="F7" s="99" t="n">
        <v>-0.0297</v>
      </c>
      <c r="G7" s="99" t="n">
        <v>-0.0028</v>
      </c>
      <c r="H7" s="99" t="n">
        <v>-0.0393</v>
      </c>
      <c r="I7" s="99" t="n">
        <v>-0.0004</v>
      </c>
      <c r="J7" s="98" t="n">
        <v>0.0228</v>
      </c>
      <c r="K7" s="99" t="n">
        <v>-0.0159</v>
      </c>
      <c r="L7" s="98" t="n">
        <v>0.0545</v>
      </c>
      <c r="M7" s="99" t="n">
        <v>-0.0334</v>
      </c>
      <c r="N7" s="99" t="n">
        <v>-0.0146</v>
      </c>
      <c r="O7" s="97" t="n">
        <f aca="false">SUM(C7,D7,E7,F7,G7,H7,I7,J7,K7,L7,M7,N7)</f>
        <v>-0.0196</v>
      </c>
    </row>
    <row r="8" customFormat="false" ht="15.75" hidden="false" customHeight="true" outlineLevel="0" collapsed="false">
      <c r="A8" s="26" t="n">
        <v>2022</v>
      </c>
      <c r="B8" s="59" t="s">
        <v>95</v>
      </c>
      <c r="C8" s="99" t="n">
        <v>-0.0091</v>
      </c>
      <c r="D8" s="98" t="n">
        <v>0.0085</v>
      </c>
      <c r="E8" s="98" t="n">
        <v>0.0517</v>
      </c>
      <c r="F8" s="98" t="n">
        <v>0.0025</v>
      </c>
      <c r="G8" s="98" t="n">
        <v>0.0434</v>
      </c>
      <c r="H8" s="98" t="n">
        <v>0.0707</v>
      </c>
      <c r="I8" s="99" t="n">
        <v>-0.0243</v>
      </c>
      <c r="J8" s="98" t="n">
        <v>0.0637</v>
      </c>
      <c r="K8" s="98" t="n">
        <v>0.032</v>
      </c>
      <c r="L8" s="98" t="n">
        <v>0.0497</v>
      </c>
      <c r="M8" s="98" t="n">
        <v>0.033</v>
      </c>
      <c r="N8" s="98" t="n">
        <v>0.009</v>
      </c>
      <c r="O8" s="96" t="n">
        <f aca="false">SUM(C8,D8,E8,F8,G8,H8,I8,J8,K8,L8,M8,N8)</f>
        <v>0.3308</v>
      </c>
    </row>
    <row r="10" customFormat="false" ht="15.75" hidden="false" customHeight="true" outlineLevel="0" collapsed="false">
      <c r="A10" s="94" t="n">
        <v>2023</v>
      </c>
      <c r="B10" s="95" t="s">
        <v>432</v>
      </c>
      <c r="C10" s="97" t="n">
        <v>-0.0284</v>
      </c>
      <c r="D10" s="97" t="n">
        <v>-0.0228</v>
      </c>
      <c r="E10" s="97" t="n">
        <v>-0.0191</v>
      </c>
      <c r="F10" s="97" t="n">
        <v>-0.0187</v>
      </c>
      <c r="G10" s="97" t="n">
        <v>-0.0225</v>
      </c>
      <c r="H10" s="97" t="n">
        <v>-0.0151</v>
      </c>
      <c r="I10" s="96" t="n">
        <v>0.0273</v>
      </c>
      <c r="J10" s="96" t="n">
        <v>0.0525</v>
      </c>
      <c r="K10" s="96" t="n">
        <v>0.0558</v>
      </c>
      <c r="L10" s="96" t="n">
        <v>0.0615</v>
      </c>
      <c r="M10" s="97" t="n">
        <v>-0.0259</v>
      </c>
      <c r="N10" s="96" t="n">
        <v>0.0587</v>
      </c>
      <c r="O10" s="96" t="n">
        <f aca="false">SUM(C10,D10,E10,F10,G10,H10,I10,J10,K10,L10,M10,N10)</f>
        <v>0.1033</v>
      </c>
    </row>
    <row r="11" customFormat="false" ht="15.75" hidden="false" customHeight="true" outlineLevel="0" collapsed="false">
      <c r="A11" s="26" t="n">
        <v>2023</v>
      </c>
      <c r="B11" s="59" t="s">
        <v>145</v>
      </c>
      <c r="C11" s="99" t="n">
        <v>-0.0177</v>
      </c>
      <c r="D11" s="99" t="n">
        <v>-0.0313</v>
      </c>
      <c r="E11" s="99" t="n">
        <v>-0.0055</v>
      </c>
      <c r="F11" s="98" t="n">
        <v>0.0303</v>
      </c>
      <c r="G11" s="99" t="n">
        <v>-0.0343</v>
      </c>
      <c r="H11" s="99" t="n">
        <v>-0.014</v>
      </c>
      <c r="I11" s="98" t="n">
        <v>0.0079</v>
      </c>
      <c r="J11" s="98" t="n">
        <v>0.0587</v>
      </c>
      <c r="K11" s="98" t="n">
        <v>0.0079</v>
      </c>
      <c r="L11" s="98" t="n">
        <v>0.0097</v>
      </c>
      <c r="M11" s="98" t="n">
        <v>0.0045</v>
      </c>
      <c r="N11" s="99" t="n">
        <v>-0.0289</v>
      </c>
      <c r="O11" s="97" t="n">
        <f aca="false">SUM(C11,D11,E11,F11,G11,H11,I11,J11,K11,L11,M11,N11)</f>
        <v>-0.0127</v>
      </c>
    </row>
    <row r="12" customFormat="false" ht="15.75" hidden="false" customHeight="true" outlineLevel="0" collapsed="false">
      <c r="A12" s="11" t="n">
        <v>2023</v>
      </c>
      <c r="B12" s="53" t="s">
        <v>147</v>
      </c>
      <c r="C12" s="98" t="n">
        <v>0.0655</v>
      </c>
      <c r="D12" s="98" t="n">
        <v>0.0708</v>
      </c>
      <c r="E12" s="98" t="n">
        <v>0.0466</v>
      </c>
      <c r="F12" s="98" t="n">
        <v>0.0078</v>
      </c>
      <c r="G12" s="98" t="n">
        <v>0.0133</v>
      </c>
      <c r="H12" s="99" t="n">
        <v>-0.0026</v>
      </c>
      <c r="I12" s="98" t="n">
        <v>0.0385</v>
      </c>
      <c r="J12" s="98" t="n">
        <v>0.0384</v>
      </c>
      <c r="K12" s="99" t="n">
        <v>-0.0027</v>
      </c>
      <c r="L12" s="98" t="n">
        <v>0.0649</v>
      </c>
      <c r="M12" s="98" t="n">
        <v>0.0465</v>
      </c>
      <c r="N12" s="99" t="n">
        <v>-0.0138</v>
      </c>
      <c r="O12" s="96" t="n">
        <f aca="false">SUM(C12,D12,E12,F12,G12,H12,I12,J12,K12,L12,M12,N12)</f>
        <v>0.3732</v>
      </c>
    </row>
    <row r="13" customFormat="false" ht="15.75" hidden="false" customHeight="true" outlineLevel="0" collapsed="false">
      <c r="A13" s="26" t="n">
        <v>2023</v>
      </c>
      <c r="B13" s="59" t="s">
        <v>84</v>
      </c>
      <c r="C13" s="98" t="n">
        <v>0.0571</v>
      </c>
      <c r="D13" s="98" t="n">
        <v>0.0409</v>
      </c>
      <c r="E13" s="99" t="n">
        <v>-0.01</v>
      </c>
      <c r="F13" s="99" t="n">
        <v>-0.0044</v>
      </c>
      <c r="G13" s="98" t="n">
        <v>0.0502</v>
      </c>
      <c r="H13" s="99" t="n">
        <v>-0.0304</v>
      </c>
      <c r="I13" s="98" t="n">
        <v>0.0125</v>
      </c>
      <c r="J13" s="98" t="n">
        <v>0.0757</v>
      </c>
      <c r="K13" s="99" t="n">
        <v>-0.0093</v>
      </c>
      <c r="L13" s="98" t="n">
        <v>0.0204</v>
      </c>
      <c r="M13" s="98" t="n">
        <v>0.0689</v>
      </c>
      <c r="N13" s="98" t="n">
        <v>0.065</v>
      </c>
      <c r="O13" s="96" t="n">
        <f aca="false">SUM(C13,D13,E13,F13,G13,H13,I13,J13,K13,L13,M13,N13)</f>
        <v>0.3366</v>
      </c>
    </row>
    <row r="14" customFormat="false" ht="15.75" hidden="false" customHeight="true" outlineLevel="0" collapsed="false">
      <c r="A14" s="11" t="n">
        <v>2023</v>
      </c>
      <c r="B14" s="53" t="s">
        <v>433</v>
      </c>
      <c r="C14" s="98" t="n">
        <v>0.0546</v>
      </c>
      <c r="D14" s="98" t="n">
        <v>0.024</v>
      </c>
      <c r="E14" s="98" t="n">
        <v>0.0716</v>
      </c>
      <c r="F14" s="99" t="n">
        <v>-0.0092</v>
      </c>
      <c r="G14" s="98" t="n">
        <v>0.0658</v>
      </c>
      <c r="H14" s="98" t="n">
        <v>0.0091</v>
      </c>
      <c r="I14" s="98" t="n">
        <v>0.039</v>
      </c>
      <c r="J14" s="98" t="n">
        <v>0.0333</v>
      </c>
      <c r="K14" s="99" t="n">
        <v>-0.0061</v>
      </c>
      <c r="L14" s="98" t="n">
        <v>0.0414</v>
      </c>
      <c r="M14" s="98" t="n">
        <v>0.0325</v>
      </c>
      <c r="N14" s="98" t="n">
        <v>0.0785</v>
      </c>
      <c r="O14" s="96" t="n">
        <f aca="false">SUM(C14,D14,E14,F14,G14,H14,I14,J14,K14,L14,M14,N14)</f>
        <v>0.4345</v>
      </c>
    </row>
    <row r="15" customFormat="false" ht="15.75" hidden="false" customHeight="true" outlineLevel="0" collapsed="false">
      <c r="A15" s="26" t="n">
        <v>2023</v>
      </c>
      <c r="B15" s="59" t="s">
        <v>95</v>
      </c>
      <c r="C15" s="98" t="n">
        <v>0.04</v>
      </c>
      <c r="D15" s="98" t="n">
        <v>0.0128</v>
      </c>
      <c r="E15" s="98" t="n">
        <v>0.0056</v>
      </c>
      <c r="F15" s="98" t="n">
        <v>0.0665</v>
      </c>
      <c r="G15" s="98" t="n">
        <v>0.0014</v>
      </c>
      <c r="H15" s="98" t="n">
        <v>0.04</v>
      </c>
      <c r="I15" s="98" t="n">
        <v>0.0433</v>
      </c>
      <c r="J15" s="98" t="n">
        <v>0.0758</v>
      </c>
      <c r="K15" s="99" t="n">
        <v>-0.0168</v>
      </c>
      <c r="L15" s="98" t="n">
        <v>0.0398</v>
      </c>
      <c r="M15" s="99" t="n">
        <v>-0.0194</v>
      </c>
      <c r="N15" s="98" t="n">
        <v>0.0368</v>
      </c>
      <c r="O15" s="96" t="n">
        <f aca="false">SUM(C15,D15,E15,F15,G15,H15,I15,J15,K15,L15,M15,N15)</f>
        <v>0.3258</v>
      </c>
    </row>
    <row r="17" customFormat="false" ht="15.75" hidden="false" customHeight="true" outlineLevel="0" collapsed="false">
      <c r="A17" s="94" t="n">
        <v>2024</v>
      </c>
      <c r="B17" s="95" t="s">
        <v>432</v>
      </c>
      <c r="C17" s="96" t="n">
        <v>0.0389</v>
      </c>
      <c r="D17" s="96" t="n">
        <v>0.0492</v>
      </c>
      <c r="E17" s="96" t="n">
        <v>0.064</v>
      </c>
      <c r="F17" s="97" t="n">
        <v>-0.0123</v>
      </c>
      <c r="G17" s="96" t="n">
        <v>0.0633</v>
      </c>
      <c r="H17" s="96" t="n">
        <v>0.0015</v>
      </c>
      <c r="I17" s="96" t="n">
        <v>0.008</v>
      </c>
      <c r="J17" s="97" t="n">
        <v>-0.0265</v>
      </c>
      <c r="K17" s="96" t="n">
        <v>0.0238</v>
      </c>
      <c r="L17" s="97" t="n">
        <v>-0.0398</v>
      </c>
      <c r="M17" s="97" t="n">
        <v>-0.0027</v>
      </c>
      <c r="N17" s="96" t="n">
        <v>0.0407</v>
      </c>
      <c r="O17" s="96" t="n">
        <f aca="false">SUM(C17,D17,E17,F17,G17,H17,I17,J17,K17,L17,M17,N17)</f>
        <v>0.2081</v>
      </c>
    </row>
    <row r="18" customFormat="false" ht="15.75" hidden="false" customHeight="true" outlineLevel="0" collapsed="false">
      <c r="A18" s="26" t="n">
        <v>2024</v>
      </c>
      <c r="B18" s="59" t="s">
        <v>145</v>
      </c>
      <c r="C18" s="98" t="n">
        <v>0.0497</v>
      </c>
      <c r="D18" s="99" t="n">
        <v>-0.0199</v>
      </c>
      <c r="E18" s="98" t="n">
        <v>0.0542</v>
      </c>
      <c r="F18" s="98" t="n">
        <v>0.0133</v>
      </c>
      <c r="G18" s="99" t="n">
        <v>-0.0154</v>
      </c>
      <c r="H18" s="98" t="n">
        <v>0.0498</v>
      </c>
      <c r="I18" s="98" t="n">
        <v>0.0487</v>
      </c>
      <c r="J18" s="98" t="n">
        <v>0.0162</v>
      </c>
      <c r="K18" s="98" t="n">
        <v>0.0237</v>
      </c>
      <c r="L18" s="98" t="n">
        <v>0.0344</v>
      </c>
      <c r="M18" s="98" t="n">
        <v>0.0358</v>
      </c>
      <c r="N18" s="98" t="n">
        <v>0.0518</v>
      </c>
      <c r="O18" s="96" t="n">
        <f aca="false">SUM(C18,D18,E18,F18,G18,H18,I18,J18,K18,L18,M18,N18)</f>
        <v>0.3423</v>
      </c>
    </row>
    <row r="19" customFormat="false" ht="15.75" hidden="false" customHeight="true" outlineLevel="0" collapsed="false">
      <c r="A19" s="11" t="n">
        <v>2024</v>
      </c>
      <c r="B19" s="53" t="s">
        <v>147</v>
      </c>
      <c r="C19" s="98" t="n">
        <v>0.0523</v>
      </c>
      <c r="D19" s="99" t="n">
        <v>-0.016</v>
      </c>
      <c r="E19" s="99" t="n">
        <v>-0.0375</v>
      </c>
      <c r="F19" s="99" t="n">
        <v>-0.0274</v>
      </c>
      <c r="G19" s="99" t="n">
        <v>-0.0031</v>
      </c>
      <c r="H19" s="98" t="n">
        <v>0.0297</v>
      </c>
      <c r="I19" s="98" t="n">
        <v>0.0753</v>
      </c>
      <c r="J19" s="98" t="n">
        <v>0.01</v>
      </c>
      <c r="K19" s="98" t="n">
        <v>0.0043</v>
      </c>
      <c r="L19" s="98" t="n">
        <v>0.0269</v>
      </c>
      <c r="M19" s="98" t="n">
        <v>0.0738</v>
      </c>
      <c r="N19" s="98" t="n">
        <v>0.0306</v>
      </c>
      <c r="O19" s="96" t="n">
        <f aca="false">SUM(C19,D19,E19,F19,G19,H19,I19,J19,K19,L19,M19,N19)</f>
        <v>0.2189</v>
      </c>
    </row>
    <row r="20" customFormat="false" ht="15.75" hidden="false" customHeight="true" outlineLevel="0" collapsed="false">
      <c r="A20" s="26" t="n">
        <v>2024</v>
      </c>
      <c r="B20" s="59" t="s">
        <v>84</v>
      </c>
      <c r="C20" s="99" t="n">
        <v>-0.0046</v>
      </c>
      <c r="D20" s="98" t="n">
        <v>0.0508</v>
      </c>
      <c r="E20" s="98" t="n">
        <v>0.079</v>
      </c>
      <c r="F20" s="98" t="n">
        <v>0.0552</v>
      </c>
      <c r="G20" s="98" t="n">
        <v>0.0078</v>
      </c>
      <c r="H20" s="99" t="n">
        <v>-0.0193</v>
      </c>
      <c r="I20" s="98" t="n">
        <v>0.0153</v>
      </c>
      <c r="J20" s="99" t="n">
        <v>-0.0246</v>
      </c>
      <c r="K20" s="99" t="n">
        <v>-0.0243</v>
      </c>
      <c r="L20" s="98" t="n">
        <v>0.0136</v>
      </c>
      <c r="M20" s="98" t="n">
        <v>0.062</v>
      </c>
      <c r="N20" s="98" t="n">
        <v>0.0442</v>
      </c>
      <c r="O20" s="96" t="n">
        <f aca="false">SUM(C20,D20,E20,F20,G20,H20,I20,J20,K20,L20,M20,N20)</f>
        <v>0.2551</v>
      </c>
    </row>
    <row r="21" customFormat="false" ht="15.75" hidden="false" customHeight="true" outlineLevel="0" collapsed="false">
      <c r="A21" s="11" t="n">
        <v>2024</v>
      </c>
      <c r="B21" s="53" t="s">
        <v>433</v>
      </c>
      <c r="C21" s="98" t="n">
        <v>0.0102</v>
      </c>
      <c r="D21" s="98" t="n">
        <v>0.0745</v>
      </c>
      <c r="E21" s="99" t="n">
        <v>-0.0185</v>
      </c>
      <c r="F21" s="99" t="n">
        <v>-0.01</v>
      </c>
      <c r="G21" s="99" t="n">
        <v>-0.0072</v>
      </c>
      <c r="H21" s="98" t="n">
        <v>0.0287</v>
      </c>
      <c r="I21" s="98" t="n">
        <v>0.0668</v>
      </c>
      <c r="J21" s="98" t="n">
        <v>0.0059</v>
      </c>
      <c r="K21" s="98" t="n">
        <v>0.0592</v>
      </c>
      <c r="L21" s="98" t="n">
        <v>0.0724</v>
      </c>
      <c r="M21" s="98" t="n">
        <v>0.0175</v>
      </c>
      <c r="N21" s="98" t="n">
        <v>0.0672</v>
      </c>
      <c r="O21" s="96" t="n">
        <f aca="false">SUM(C21,D21,E21,F21,G21,H21,I21,J21,K21,L21,M21,N21)</f>
        <v>0.3667</v>
      </c>
    </row>
    <row r="22" customFormat="false" ht="15.75" hidden="false" customHeight="true" outlineLevel="0" collapsed="false">
      <c r="A22" s="26" t="n">
        <v>2024</v>
      </c>
      <c r="B22" s="59" t="s">
        <v>95</v>
      </c>
      <c r="C22" s="98" t="n">
        <v>0.0667</v>
      </c>
      <c r="D22" s="98" t="n">
        <v>0.0172</v>
      </c>
      <c r="E22" s="99" t="n">
        <v>-0.0197</v>
      </c>
      <c r="F22" s="99" t="n">
        <v>-0.031</v>
      </c>
      <c r="G22" s="99" t="n">
        <v>-0.0113</v>
      </c>
      <c r="H22" s="98" t="n">
        <v>0.0152</v>
      </c>
      <c r="I22" s="99" t="n">
        <v>-0.0382</v>
      </c>
      <c r="J22" s="99" t="n">
        <v>-0.0004</v>
      </c>
      <c r="K22" s="98" t="n">
        <v>0.0193</v>
      </c>
      <c r="L22" s="98" t="n">
        <v>0.0003</v>
      </c>
      <c r="M22" s="98" t="n">
        <v>0.048</v>
      </c>
      <c r="N22" s="98" t="n">
        <v>0.0284</v>
      </c>
      <c r="O22" s="96" t="n">
        <f aca="false">SUM(C22,D22,E22,F22,G22,H22,I22,J22,K22,L22,M22,N22)</f>
        <v>0.0945</v>
      </c>
    </row>
    <row r="24" customFormat="false" ht="15.75" hidden="false" customHeight="true" outlineLevel="0" collapsed="false">
      <c r="A24" s="94" t="n">
        <v>2025</v>
      </c>
      <c r="B24" s="95" t="s">
        <v>432</v>
      </c>
      <c r="C24" s="96" t="n">
        <v>0.024</v>
      </c>
      <c r="D24" s="96" t="n">
        <v>0.036</v>
      </c>
      <c r="E24" s="96" t="n">
        <v>0.03</v>
      </c>
      <c r="F24" s="96" t="n">
        <v>0.0097</v>
      </c>
      <c r="G24" s="97" t="n">
        <v>-0.0201</v>
      </c>
      <c r="H24" s="96" t="n">
        <v>0.0306</v>
      </c>
      <c r="I24" s="97" t="n">
        <v>-0.0343</v>
      </c>
      <c r="J24" s="97" t="n">
        <v>-0.0357</v>
      </c>
      <c r="K24" s="96" t="n">
        <v>0.0011</v>
      </c>
      <c r="L24" s="97" t="n">
        <v>-0.0124</v>
      </c>
      <c r="M24" s="96" t="n">
        <v>0.0507</v>
      </c>
      <c r="N24" s="100" t="s">
        <v>188</v>
      </c>
      <c r="O24" s="96" t="n">
        <f aca="false">SUM(C24,D24,E24,F24,G24,H24,I24,J24,K24,L24,M24)</f>
        <v>0.0796</v>
      </c>
    </row>
    <row r="25" customFormat="false" ht="15.75" hidden="false" customHeight="true" outlineLevel="0" collapsed="false">
      <c r="A25" s="26" t="n">
        <v>2025</v>
      </c>
      <c r="B25" s="59" t="s">
        <v>145</v>
      </c>
      <c r="C25" s="99" t="n">
        <v>-0.021</v>
      </c>
      <c r="D25" s="98" t="n">
        <v>0.0127</v>
      </c>
      <c r="E25" s="98" t="n">
        <v>0.0435</v>
      </c>
      <c r="F25" s="98" t="n">
        <v>0.0101</v>
      </c>
      <c r="G25" s="98" t="n">
        <v>0.0566</v>
      </c>
      <c r="H25" s="99" t="n">
        <v>-0.0259</v>
      </c>
      <c r="I25" s="99" t="n">
        <v>-0.0194</v>
      </c>
      <c r="J25" s="99" t="n">
        <v>-0.0069</v>
      </c>
      <c r="K25" s="98" t="n">
        <v>0.0038</v>
      </c>
      <c r="L25" s="98" t="n">
        <v>0.0272</v>
      </c>
      <c r="M25" s="99" t="n">
        <v>-0.0162</v>
      </c>
      <c r="N25" s="100" t="s">
        <v>188</v>
      </c>
      <c r="O25" s="96" t="n">
        <f aca="false">SUM(C25,D25,E25,F25,G25,H25,I25,J25,K25,L25,M25)</f>
        <v>0.0645</v>
      </c>
    </row>
    <row r="26" customFormat="false" ht="15.75" hidden="false" customHeight="true" outlineLevel="0" collapsed="false">
      <c r="A26" s="11" t="n">
        <v>2025</v>
      </c>
      <c r="B26" s="53" t="s">
        <v>147</v>
      </c>
      <c r="C26" s="98" t="n">
        <v>0.0271</v>
      </c>
      <c r="D26" s="98" t="n">
        <v>0.0442</v>
      </c>
      <c r="E26" s="98" t="n">
        <v>0.0383</v>
      </c>
      <c r="F26" s="98" t="n">
        <v>0.0578</v>
      </c>
      <c r="G26" s="99" t="n">
        <v>-0.0302</v>
      </c>
      <c r="H26" s="98" t="n">
        <v>0.0413</v>
      </c>
      <c r="I26" s="98" t="n">
        <v>0.047</v>
      </c>
      <c r="J26" s="98" t="n">
        <v>0.059</v>
      </c>
      <c r="K26" s="99" t="n">
        <v>-0.022</v>
      </c>
      <c r="L26" s="99" t="n">
        <v>-0.0296</v>
      </c>
      <c r="M26" s="98" t="n">
        <v>0.0511</v>
      </c>
      <c r="N26" s="100" t="s">
        <v>188</v>
      </c>
      <c r="O26" s="96" t="n">
        <f aca="false">SUM(C26,D26,E26,F26,G26,H26,I26,J26,K26,L26,M26)</f>
        <v>0.284</v>
      </c>
    </row>
    <row r="27" customFormat="false" ht="15.75" hidden="false" customHeight="true" outlineLevel="0" collapsed="false">
      <c r="A27" s="26" t="n">
        <v>2025</v>
      </c>
      <c r="B27" s="59" t="s">
        <v>84</v>
      </c>
      <c r="C27" s="98" t="n">
        <v>0.0376</v>
      </c>
      <c r="D27" s="99" t="n">
        <v>-0.02</v>
      </c>
      <c r="E27" s="98" t="n">
        <v>0.0645</v>
      </c>
      <c r="F27" s="98" t="n">
        <v>0.046</v>
      </c>
      <c r="G27" s="98" t="n">
        <v>0.0338</v>
      </c>
      <c r="H27" s="98" t="n">
        <v>0.0513</v>
      </c>
      <c r="I27" s="98" t="n">
        <v>0.0333</v>
      </c>
      <c r="J27" s="98" t="n">
        <v>0.0008</v>
      </c>
      <c r="K27" s="99" t="n">
        <v>-0.0337</v>
      </c>
      <c r="L27" s="98" t="n">
        <v>0.0011</v>
      </c>
      <c r="M27" s="98" t="n">
        <v>0.035</v>
      </c>
      <c r="N27" s="100" t="s">
        <v>188</v>
      </c>
      <c r="O27" s="96" t="n">
        <f aca="false">SUM(C27,D27,E27,F27,G27,H27,I27,J27,K27,L27,M27)</f>
        <v>0.2497</v>
      </c>
    </row>
    <row r="28" customFormat="false" ht="15.75" hidden="false" customHeight="true" outlineLevel="0" collapsed="false">
      <c r="A28" s="11" t="n">
        <v>2025</v>
      </c>
      <c r="B28" s="53" t="s">
        <v>433</v>
      </c>
      <c r="C28" s="99" t="n">
        <v>-0.0174</v>
      </c>
      <c r="D28" s="99" t="n">
        <v>-0.0185</v>
      </c>
      <c r="E28" s="99" t="n">
        <v>-0.0267</v>
      </c>
      <c r="F28" s="98" t="n">
        <v>0.0196</v>
      </c>
      <c r="G28" s="98" t="n">
        <v>0.076</v>
      </c>
      <c r="H28" s="98" t="n">
        <v>0.0477</v>
      </c>
      <c r="I28" s="99" t="n">
        <v>-0.0385</v>
      </c>
      <c r="J28" s="98" t="n">
        <v>0.0052</v>
      </c>
      <c r="K28" s="98" t="n">
        <v>0.0419</v>
      </c>
      <c r="L28" s="99" t="n">
        <v>-0.0284</v>
      </c>
      <c r="M28" s="98" t="n">
        <v>0.0554</v>
      </c>
      <c r="N28" s="100" t="s">
        <v>188</v>
      </c>
      <c r="O28" s="96" t="n">
        <f aca="false">SUM(C28,D28,E28,F28,G28,H28,I28,J28,K28,L28,M28)</f>
        <v>0.1163</v>
      </c>
    </row>
    <row r="29" customFormat="false" ht="15.75" hidden="false" customHeight="true" outlineLevel="0" collapsed="false">
      <c r="A29" s="26" t="n">
        <v>2025</v>
      </c>
      <c r="B29" s="59" t="s">
        <v>95</v>
      </c>
      <c r="C29" s="99" t="n">
        <v>-0.0118</v>
      </c>
      <c r="D29" s="98" t="n">
        <v>0.0133</v>
      </c>
      <c r="E29" s="98" t="n">
        <v>0.0552</v>
      </c>
      <c r="F29" s="98" t="n">
        <v>0.0649</v>
      </c>
      <c r="G29" s="99" t="n">
        <v>-0.0304</v>
      </c>
      <c r="H29" s="98" t="n">
        <v>0.0581</v>
      </c>
      <c r="I29" s="98" t="n">
        <v>0.0651</v>
      </c>
      <c r="J29" s="98" t="n">
        <v>0.0606</v>
      </c>
      <c r="K29" s="98" t="n">
        <v>0.0529</v>
      </c>
      <c r="L29" s="98" t="n">
        <v>0.0048</v>
      </c>
      <c r="M29" s="99" t="n">
        <v>-0.0024</v>
      </c>
      <c r="N29" s="100" t="s">
        <v>188</v>
      </c>
      <c r="O29" s="96" t="n">
        <f aca="false">SUM(C29,D29,E29,F29,G29,H29,I29,J29,K29,L29,M29)</f>
        <v>0.3303</v>
      </c>
    </row>
  </sheetData>
  <mergeCells count="1">
    <mergeCell ref="A1:P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2026-02-26T12:21:46Z</dcterms:created>
  <dc:creator>openpyxl</dc:creator>
  <dc:description/>
  <dc:language>en-US</dc:language>
  <cp:lastModifiedBy/>
  <dcterms:modified xsi:type="dcterms:W3CDTF">2026-02-26T12:21:46Z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